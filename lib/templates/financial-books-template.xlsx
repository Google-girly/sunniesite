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4"/>
    <sheet state="visible" name="Checkbook" sheetId="2" r:id="rId5"/>
    <sheet state="visible" name="Summary" sheetId="3" r:id="rId6"/>
    <sheet state="visible" name="IncStmt" sheetId="4" r:id="rId7"/>
    <sheet state="visible" name="Budget Log" sheetId="5" r:id="rId8"/>
  </sheets>
  <definedNames/>
  <calcPr/>
</workbook>
</file>

<file path=xl/sharedStrings.xml><?xml version="1.0" encoding="utf-8"?>
<sst xmlns="http://schemas.openxmlformats.org/spreadsheetml/2006/main" count="348" uniqueCount="128">
  <si>
    <t>Re</t>
  </si>
  <si>
    <t>SIGMA OMEGA NU</t>
  </si>
  <si>
    <t>LATINA INTEREST SORORITY</t>
  </si>
  <si>
    <t>FINANCIAL BOOK</t>
  </si>
  <si>
    <t>CHAPTER</t>
  </si>
  <si>
    <t>2025 Financial Activity Summary</t>
  </si>
  <si>
    <t>General Ledger Accounts</t>
  </si>
  <si>
    <t>Income Statement for 2025</t>
  </si>
  <si>
    <t>2024 Checkbook</t>
  </si>
  <si>
    <t>Account Description</t>
  </si>
  <si>
    <t>Account #</t>
  </si>
  <si>
    <t>Revenue</t>
  </si>
  <si>
    <t>Beginning Balance</t>
  </si>
  <si>
    <t>Expenses</t>
  </si>
  <si>
    <t>Total</t>
  </si>
  <si>
    <t>Membership Dues</t>
  </si>
  <si>
    <t>Date</t>
  </si>
  <si>
    <t>National Board Dues</t>
  </si>
  <si>
    <t>Payment Method</t>
  </si>
  <si>
    <t>=</t>
  </si>
  <si>
    <t>With/Dep</t>
  </si>
  <si>
    <t>Description of Transaction</t>
  </si>
  <si>
    <t>Code</t>
  </si>
  <si>
    <t>Debit   (-)</t>
  </si>
  <si>
    <t>Credit (+)</t>
  </si>
  <si>
    <t>Pledge Class Dues</t>
  </si>
  <si>
    <t>Pledge Class</t>
  </si>
  <si>
    <t>Pledge Class Costs</t>
  </si>
  <si>
    <t>Balance</t>
  </si>
  <si>
    <t>Fines</t>
  </si>
  <si>
    <t>Recruitment Expenses</t>
  </si>
  <si>
    <t>Starting Balance</t>
  </si>
  <si>
    <t xml:space="preserve"> </t>
  </si>
  <si>
    <t>Paraphernalia Fundraiser Sales</t>
  </si>
  <si>
    <t>Council Dues</t>
  </si>
  <si>
    <t>Cashapp</t>
  </si>
  <si>
    <t>Food/Club/Party Fundraiser Sales</t>
  </si>
  <si>
    <t>Deposit</t>
  </si>
  <si>
    <t>Socials/Retreats</t>
  </si>
  <si>
    <t xml:space="preserve"/>
  </si>
  <si>
    <t>Raffles/Auctions Fundraiser Sales</t>
  </si>
  <si>
    <t>Banking Fees</t>
  </si>
  <si>
    <t>Other Fundraiser Sales</t>
  </si>
  <si>
    <t>Officer Expenses (i.e. Zoom)</t>
  </si>
  <si>
    <t>Sunnie Summit</t>
  </si>
  <si>
    <t>Paraphernalia Fundraiser Expenses</t>
  </si>
  <si>
    <t>Parent's Banquet</t>
  </si>
  <si>
    <t>Withdraw</t>
  </si>
  <si>
    <t>Amazon Purchase for Sister Social</t>
  </si>
  <si>
    <t>Official Sweaters</t>
  </si>
  <si>
    <t>Raffles/Auctions Fundraiser Expenses</t>
  </si>
  <si>
    <t>Brochures</t>
  </si>
  <si>
    <t>Paraphernalia Fundraiser</t>
  </si>
  <si>
    <t>Graduation Stoles</t>
  </si>
  <si>
    <t>Other Fundraiser Expenses</t>
  </si>
  <si>
    <t>National Conference</t>
  </si>
  <si>
    <t xml:space="preserve">Graduation Stoles </t>
  </si>
  <si>
    <t>Food/Club/Party Fundraiser</t>
  </si>
  <si>
    <t xml:space="preserve"/>
  </si>
  <si>
    <t>Battle of the Chapters</t>
  </si>
  <si>
    <t>Executive Retreat</t>
  </si>
  <si>
    <t>Raffles/Auctions Fundraiser</t>
  </si>
  <si>
    <t xml:space="preserve"/>
  </si>
  <si>
    <t>Formal Payments</t>
  </si>
  <si>
    <t>Donations</t>
  </si>
  <si>
    <t xml:space="preserve"/>
  </si>
  <si>
    <t>Formal</t>
  </si>
  <si>
    <t>Philanthropy &amp; Community Service</t>
  </si>
  <si>
    <t xml:space="preserve"/>
  </si>
  <si>
    <t>LS Dues</t>
  </si>
  <si>
    <t>Scholarships</t>
  </si>
  <si>
    <t>Cash</t>
  </si>
  <si>
    <t>USFC Dues</t>
  </si>
  <si>
    <t>Updated by NVP of Finance</t>
  </si>
  <si>
    <t>NB Dues</t>
  </si>
  <si>
    <t>Pie-A-Sunnie</t>
  </si>
  <si>
    <t>LS XO Sweaters</t>
  </si>
  <si>
    <t>Venmo</t>
  </si>
  <si>
    <t>Fine to NB</t>
  </si>
  <si>
    <t>Prints</t>
  </si>
  <si>
    <t>Refund from school</t>
  </si>
  <si>
    <t>Dues</t>
  </si>
  <si>
    <t>Award plaque</t>
  </si>
  <si>
    <t>BOTC Tickets</t>
  </si>
  <si>
    <t>dues</t>
  </si>
  <si>
    <t xml:space="preserve">Saint Patricks Day Fundraiser </t>
  </si>
  <si>
    <t>Parents Banquet and alpha order plaque</t>
  </si>
  <si>
    <t>BOTC (Gas, snacks, shirts) and Refund for food from retreat</t>
  </si>
  <si>
    <t>Justin Bieber Movie Night</t>
  </si>
  <si>
    <t>Donation to NOCC</t>
  </si>
  <si>
    <t>Transcripts</t>
  </si>
  <si>
    <t>Conference</t>
  </si>
  <si>
    <t>Ending Balance</t>
  </si>
  <si>
    <t>-</t>
  </si>
  <si>
    <t>2025 Chapter Budget Log</t>
  </si>
  <si>
    <t>Budget Number</t>
  </si>
  <si>
    <t>Tentative/Final</t>
  </si>
  <si>
    <t>Submitted By</t>
  </si>
  <si>
    <t>Date Due</t>
  </si>
  <si>
    <t>Date Submitted</t>
  </si>
  <si>
    <t>Date Presented</t>
  </si>
  <si>
    <t>Description</t>
  </si>
  <si>
    <t>Amount</t>
  </si>
  <si>
    <t>Check #</t>
  </si>
  <si>
    <t>Votes</t>
  </si>
  <si>
    <t>Status</t>
  </si>
  <si>
    <t>Reimbursement amount &amp; method</t>
  </si>
  <si>
    <t>Final</t>
  </si>
  <si>
    <t xml:space="preserve"/>
  </si>
  <si>
    <t>Sister social</t>
  </si>
  <si>
    <t>Passed</t>
  </si>
  <si>
    <t>Cashapp - $45.75</t>
  </si>
  <si>
    <t xml:space="preserve"/>
  </si>
  <si>
    <t>NB retreat</t>
  </si>
  <si>
    <t>Cashapp - $260</t>
  </si>
  <si>
    <t>Cashapp - $43.51</t>
  </si>
  <si>
    <t xml:space="preserve"/>
  </si>
  <si>
    <t>Cashapp - $11.75</t>
  </si>
  <si>
    <t>Winter Retreat</t>
  </si>
  <si>
    <t>Cashapp - $134.17</t>
  </si>
  <si>
    <t xml:space="preserve"/>
  </si>
  <si>
    <t>Bieber Night Social</t>
  </si>
  <si>
    <t>Cashapp - $70.95</t>
  </si>
  <si>
    <t>Alpha Order</t>
  </si>
  <si>
    <t>Cashapp - $35.07</t>
  </si>
  <si>
    <t xml:space="preserve"/>
  </si>
  <si>
    <t>BOTC</t>
  </si>
  <si>
    <t>Cashapp - $505.76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</si>
</sst>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_(&quot;$&quot;* #,##0.00_);_(&quot;$&quot;* \(#,##0.00\);_(&quot;$&quot;* &quot;-&quot;??_);_(@_)"/>
    <numFmt numFmtId="166" formatCode="&quot;$&quot;#,##0.00"/>
    <numFmt numFmtId="167" formatCode="m/d/yy"/>
    <numFmt numFmtId="168" formatCode="mm/dd/yy"/>
    <numFmt numFmtId="169" formatCode="mm/dd/yyyy"/>
    <numFmt numFmtId="170" formatCode="&quot;$&quot;#,##0"/>
  </numFmts>
  <fonts count="38">
    <font>
      <sz val="10.0"/>
      <color rgb="FF000000"/>
      <name val="Arial"/>
    </font>
    <font>
      <b/>
      <sz val="21.0"/>
      <color rgb="FF000000"/>
      <name val="Garamond"/>
    </font>
    <font>
      <b/>
      <sz val="22.0"/>
      <color rgb="FF000000"/>
      <name val="Garamond"/>
    </font>
    <font>
      <sz val="12.0"/>
      <color rgb="FF000000"/>
      <name val="Garamond"/>
    </font>
    <font>
      <sz val="10.0"/>
      <color rgb="FF000000"/>
      <name val="Garamond"/>
    </font>
    <font>
      <sz val="12.0"/>
      <name val="Garamond"/>
    </font>
    <font/>
    <font>
      <sz val="11.0"/>
      <color rgb="FF000000"/>
      <name val="Garamond"/>
    </font>
    <font>
      <name val="Garamond"/>
    </font>
    <font>
      <b/>
      <sz val="11.0"/>
      <color rgb="FF000000"/>
      <name val="Garamond"/>
    </font>
    <font>
      <b/>
      <sz val="12.0"/>
      <color rgb="FF000000"/>
      <name val="Garamond"/>
    </font>
    <font>
      <b/>
      <sz val="12.0"/>
      <name val="Garamond"/>
    </font>
    <font>
      <sz val="15.0"/>
      <color rgb="FF000000"/>
      <name val="Garamond"/>
    </font>
    <font>
      <i/>
      <sz val="12.0"/>
      <color rgb="FF000000"/>
      <name val="Garamond"/>
    </font>
    <font>
      <b/>
      <i/>
      <u/>
      <sz val="12.0"/>
      <color rgb="FF000000"/>
      <name val="Garamond"/>
    </font>
    <font>
      <b/>
      <i/>
      <sz val="8.0"/>
      <name val="Garamond"/>
    </font>
    <font>
      <b/>
      <i/>
      <sz val="12.0"/>
      <color rgb="FF000000"/>
      <name val="Garamond"/>
    </font>
    <font>
      <sz val="8.0"/>
      <color rgb="FFFF0000"/>
      <name val="Garamond"/>
    </font>
    <font>
      <b/>
      <i/>
      <u/>
      <sz val="12.0"/>
      <name val="Garamond"/>
    </font>
    <font>
      <b/>
      <i/>
      <u/>
      <sz val="12.0"/>
      <name val="Garamond"/>
    </font>
    <font>
      <sz val="8.0"/>
      <color rgb="FF0000FF"/>
      <name val="Garamond"/>
    </font>
    <font>
      <b/>
      <i/>
      <sz val="8.0"/>
      <color rgb="FF339966"/>
      <name val="Garamond"/>
    </font>
    <font>
      <b/>
      <sz val="11.0"/>
      <name val="Garamond"/>
    </font>
    <font>
      <b/>
      <sz val="11.0"/>
      <color rgb="FFFF0000"/>
      <name val="Garamond"/>
    </font>
    <font>
      <b/>
      <sz val="11.0"/>
      <color rgb="FF0000FF"/>
      <name val="Garamond"/>
    </font>
    <font>
      <i/>
      <sz val="11.0"/>
      <name val="Garamond"/>
    </font>
    <font>
      <i/>
      <sz val="11.0"/>
      <color rgb="FF000000"/>
      <name val="Garamond"/>
    </font>
    <font>
      <i/>
      <sz val="11.0"/>
      <color rgb="FF0000FF"/>
      <name val="Garamond"/>
    </font>
    <font>
      <i/>
      <sz val="11.0"/>
      <color rgb="FFFF0000"/>
      <name val="Garamond"/>
    </font>
    <font>
      <sz val="11.0"/>
      <name val="Garamond"/>
    </font>
    <font>
      <sz val="11.0"/>
      <color rgb="FFFF0000"/>
      <name val="Garamond"/>
    </font>
    <font>
      <sz val="11.0"/>
      <color rgb="FF0000FF"/>
      <name val="Garamond"/>
    </font>
    <font>
      <b/>
      <sz val="10.0"/>
      <color rgb="FF000000"/>
      <name val="Garamond"/>
    </font>
    <font>
      <sz val="10.0"/>
      <color rgb="FFFF0000"/>
      <name val="Garamond"/>
    </font>
    <font>
      <sz val="10.0"/>
      <color rgb="FF0000FF"/>
      <name val="Garamond"/>
    </font>
    <font>
      <color rgb="FF000000"/>
      <name val="Garamond"/>
    </font>
    <font>
      <sz val="16.0"/>
      <name val="Garamond"/>
    </font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33">
    <border/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thin">
        <color rgb="FF000000"/>
      </top>
    </border>
    <border>
      <top style="medium">
        <color rgb="FF000000"/>
      </top>
    </border>
    <border>
      <right style="thin">
        <color rgb="FF000000"/>
      </right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double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2" fillId="0" fontId="2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0" fillId="0" fontId="7" numFmtId="0" xfId="0" applyAlignment="1" applyFont="1">
      <alignment horizontal="center" shrinkToFit="0" vertical="center" wrapText="1"/>
    </xf>
    <xf borderId="0" fillId="0" fontId="8" numFmtId="0" xfId="0" applyFont="1"/>
    <xf borderId="6" fillId="0" fontId="9" numFmtId="0" xfId="0" applyAlignment="1" applyBorder="1" applyFont="1">
      <alignment horizontal="center" readingOrder="0" shrinkToFit="0" vertical="top" wrapText="1"/>
    </xf>
    <xf borderId="7" fillId="0" fontId="3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8" fillId="0" fontId="3" numFmtId="0" xfId="0" applyAlignment="1" applyBorder="1" applyFont="1">
      <alignment horizontal="center" shrinkToFit="0" vertical="center" wrapText="1"/>
    </xf>
    <xf borderId="9" fillId="0" fontId="6" numFmtId="0" xfId="0" applyBorder="1" applyFont="1"/>
    <xf borderId="6" fillId="0" fontId="10" numFmtId="0" xfId="0" applyAlignment="1" applyBorder="1" applyFont="1">
      <alignment horizontal="center" readingOrder="0" shrinkToFit="0" vertical="center" wrapText="1"/>
    </xf>
    <xf borderId="10" fillId="0" fontId="10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0"/>
    </xf>
    <xf borderId="8" fillId="0" fontId="10" numFmtId="0" xfId="0" applyAlignment="1" applyBorder="1" applyFont="1">
      <alignment horizontal="center" readingOrder="0" shrinkToFit="0" vertical="top" wrapText="1"/>
    </xf>
    <xf borderId="7" fillId="0" fontId="3" numFmtId="0" xfId="0" applyAlignment="1" applyBorder="1" applyFont="1">
      <alignment horizontal="center" readingOrder="0" shrinkToFit="0" vertical="center" wrapText="0"/>
    </xf>
    <xf borderId="11" fillId="2" fontId="11" numFmtId="0" xfId="0" applyAlignment="1" applyBorder="1" applyFill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readingOrder="0" shrinkToFit="0" vertical="center" wrapText="0"/>
    </xf>
    <xf borderId="11" fillId="2" fontId="11" numFmtId="164" xfId="0" applyAlignment="1" applyBorder="1" applyFill="1" applyFont="1" applyNumberFormat="1">
      <alignment horizontal="center" shrinkToFit="0" vertical="center" wrapText="1"/>
    </xf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7" fillId="0" fontId="3" numFmtId="0" xfId="0" applyAlignment="1" applyBorder="1" applyFont="1">
      <alignment shrinkToFit="0" wrapText="0"/>
    </xf>
    <xf borderId="0" fillId="0" fontId="4" numFmtId="0" xfId="0" applyAlignment="1" applyFont="1">
      <alignment horizontal="center" shrinkToFit="0" wrapText="0"/>
    </xf>
    <xf borderId="17" fillId="2" fontId="11" numFmtId="0" xfId="0" applyAlignment="1" applyBorder="1" applyFill="1" applyFont="1">
      <alignment horizontal="center" readingOrder="0" shrinkToFit="0" vertical="center" wrapText="1"/>
    </xf>
    <xf borderId="0" fillId="0" fontId="3" numFmtId="165" xfId="0" applyAlignment="1" applyFont="1" applyNumberFormat="1">
      <alignment shrinkToFit="0" wrapText="0"/>
    </xf>
    <xf borderId="1" fillId="0" fontId="11" numFmtId="0" xfId="0" applyAlignment="1" applyBorder="1" applyFont="1">
      <alignment shrinkToFit="0" wrapText="0"/>
    </xf>
    <xf borderId="0" fillId="0" fontId="13" numFmtId="165" xfId="0" applyAlignment="1" applyFont="1" applyNumberFormat="1">
      <alignment shrinkToFit="0" wrapText="0"/>
    </xf>
    <xf borderId="18" fillId="0" fontId="6" numFmtId="0" xfId="0" applyBorder="1" applyFont="1"/>
    <xf borderId="19" fillId="0" fontId="11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shrinkToFit="0" wrapText="0"/>
    </xf>
    <xf borderId="20" fillId="0" fontId="6" numFmtId="0" xfId="0" applyBorder="1" applyFont="1"/>
    <xf borderId="5" fillId="0" fontId="14" numFmtId="0" xfId="0" applyAlignment="1" applyBorder="1" applyFont="1">
      <alignment horizontal="center" shrinkToFit="0" vertical="center" wrapText="0"/>
    </xf>
    <xf borderId="21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wrapText="0"/>
    </xf>
    <xf borderId="19" fillId="0" fontId="15" numFmtId="0" xfId="0" applyAlignment="1" applyBorder="1" applyFont="1">
      <alignment horizontal="left" shrinkToFit="0" vertical="center" wrapText="1"/>
    </xf>
    <xf borderId="5" fillId="0" fontId="16" numFmtId="0" xfId="0" applyAlignment="1" applyBorder="1" applyFont="1">
      <alignment horizontal="center" shrinkToFit="0" vertical="center" wrapText="0"/>
    </xf>
    <xf borderId="19" fillId="0" fontId="15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shrinkToFit="0" wrapText="0"/>
    </xf>
    <xf borderId="0" fillId="0" fontId="11" numFmtId="0" xfId="0" applyAlignment="1" applyFont="1">
      <alignment horizontal="center" shrinkToFit="0" vertical="center" wrapText="0"/>
    </xf>
    <xf borderId="8" fillId="0" fontId="5" numFmtId="0" xfId="0" applyAlignment="1" applyBorder="1" applyFont="1">
      <alignment shrinkToFit="0" wrapText="0"/>
    </xf>
    <xf borderId="21" fillId="0" fontId="13" numFmtId="165" xfId="0" applyAlignment="1" applyBorder="1" applyFont="1" applyNumberFormat="1">
      <alignment shrinkToFit="0" wrapText="0"/>
    </xf>
    <xf borderId="19" fillId="0" fontId="17" numFmtId="166" xfId="0" applyAlignment="1" applyBorder="1" applyFont="1" applyNumberFormat="1">
      <alignment horizontal="center" shrinkToFit="0" vertical="center" wrapText="1"/>
    </xf>
    <xf borderId="8" fillId="0" fontId="18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shrinkToFit="0" wrapText="0"/>
    </xf>
    <xf borderId="0" fillId="0" fontId="4" numFmtId="0" xfId="0" applyAlignment="1" applyFont="1">
      <alignment horizontal="center" shrinkToFit="0" vertical="center" wrapText="0"/>
    </xf>
    <xf borderId="0" fillId="0" fontId="5" numFmtId="165" xfId="0" applyAlignment="1" applyFont="1" applyNumberFormat="1">
      <alignment shrinkToFit="0" wrapText="0"/>
    </xf>
    <xf borderId="0" fillId="0" fontId="19" numFmtId="0" xfId="0" applyAlignment="1" applyFont="1">
      <alignment horizontal="center" shrinkToFit="0" vertical="center" wrapText="0"/>
    </xf>
    <xf borderId="19" fillId="0" fontId="20" numFmtId="166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9" fillId="0" fontId="5" numFmtId="165" xfId="0" applyAlignment="1" applyBorder="1" applyFont="1" applyNumberFormat="1">
      <alignment shrinkToFit="0" wrapText="0"/>
    </xf>
    <xf borderId="19" fillId="0" fontId="21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shrinkToFit="0" wrapText="0"/>
    </xf>
    <xf borderId="20" fillId="0" fontId="5" numFmtId="0" xfId="0" applyAlignment="1" applyBorder="1" applyFont="1">
      <alignment horizontal="center" shrinkToFit="0" vertical="center" wrapText="0"/>
    </xf>
    <xf borderId="22" fillId="2" fontId="22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wrapText="0"/>
    </xf>
    <xf borderId="9" fillId="0" fontId="3" numFmtId="165" xfId="0" applyAlignment="1" applyBorder="1" applyFont="1" applyNumberFormat="1">
      <alignment shrinkToFit="0" wrapText="0"/>
    </xf>
    <xf borderId="22" fillId="2" fontId="22" numFmtId="0" xfId="0" applyAlignment="1" applyBorder="1" applyFill="1" applyFont="1">
      <alignment horizontal="center" readingOrder="0" shrinkToFit="0" vertical="center" wrapText="1"/>
    </xf>
    <xf borderId="19" fillId="0" fontId="5" numFmtId="0" xfId="0" applyAlignment="1" applyBorder="1" applyFont="1">
      <alignment shrinkToFit="0" wrapText="0"/>
    </xf>
    <xf borderId="19" fillId="0" fontId="5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wrapText="0"/>
    </xf>
    <xf borderId="22" fillId="2" fontId="22" numFmtId="0" xfId="0" applyAlignment="1" applyBorder="1" applyFill="1" applyFont="1">
      <alignment horizontal="left" shrinkToFit="0" vertical="center" wrapText="1"/>
    </xf>
    <xf borderId="22" fillId="2" fontId="23" numFmtId="166" xfId="0" applyAlignment="1" applyBorder="1" applyFill="1" applyFont="1" applyNumberFormat="1">
      <alignment horizontal="center" shrinkToFit="0" vertical="center" wrapText="1"/>
    </xf>
    <xf borderId="23" fillId="0" fontId="5" numFmtId="0" xfId="0" applyAlignment="1" applyBorder="1" applyFont="1">
      <alignment shrinkToFit="0" wrapText="0"/>
    </xf>
    <xf borderId="22" fillId="2" fontId="24" numFmtId="166" xfId="0" applyAlignment="1" applyBorder="1" applyFill="1" applyFont="1" applyNumberFormat="1">
      <alignment horizontal="center" shrinkToFit="0" vertical="center" wrapText="1"/>
    </xf>
    <xf borderId="19" fillId="0" fontId="3" numFmtId="165" xfId="0" applyAlignment="1" applyBorder="1" applyFont="1" applyNumberFormat="1">
      <alignment shrinkToFit="0" wrapText="0"/>
    </xf>
    <xf borderId="8" fillId="0" fontId="5" numFmtId="0" xfId="0" applyAlignment="1" applyBorder="1" applyFont="1">
      <alignment shrinkToFit="0" wrapText="0"/>
    </xf>
    <xf borderId="24" fillId="0" fontId="6" numFmtId="0" xfId="0" applyBorder="1" applyFont="1"/>
    <xf borderId="19" fillId="0" fontId="25" numFmtId="164" xfId="0" applyAlignment="1" applyBorder="1" applyFont="1" applyNumberFormat="1">
      <alignment horizontal="center" readingOrder="0" shrinkToFit="0" wrapText="0"/>
    </xf>
    <xf borderId="16" fillId="0" fontId="5" numFmtId="0" xfId="0" applyAlignment="1" applyBorder="1" applyFont="1">
      <alignment horizontal="center" shrinkToFit="0" vertical="center" wrapText="0"/>
    </xf>
    <xf borderId="19" fillId="0" fontId="25" numFmtId="1" xfId="0" applyAlignment="1" applyBorder="1" applyFont="1" applyNumberFormat="1">
      <alignment horizontal="center" shrinkToFit="0" wrapText="0"/>
    </xf>
    <xf borderId="19" fillId="0" fontId="26" numFmtId="14" xfId="0" applyAlignment="1" applyBorder="1" applyFont="1" applyNumberFormat="1">
      <alignment shrinkToFit="0" wrapText="0"/>
    </xf>
    <xf borderId="19" fillId="0" fontId="26" numFmtId="0" xfId="0" applyAlignment="1" applyBorder="1" applyFont="1">
      <alignment readingOrder="0" shrinkToFit="0" wrapText="0"/>
    </xf>
    <xf borderId="19" fillId="0" fontId="27" numFmtId="166" xfId="0" applyAlignment="1" applyBorder="1" applyFont="1" applyNumberFormat="1">
      <alignment shrinkToFit="0" wrapText="0"/>
    </xf>
    <xf borderId="19" fillId="0" fontId="28" numFmtId="166" xfId="0" applyAlignment="1" applyBorder="1" applyFont="1" applyNumberFormat="1">
      <alignment shrinkToFit="0" wrapText="0"/>
    </xf>
    <xf borderId="19" fillId="0" fontId="25" numFmtId="165" xfId="0" applyAlignment="1" applyBorder="1" applyFont="1" applyNumberFormat="1">
      <alignment readingOrder="0" shrinkToFit="0" wrapText="0"/>
    </xf>
    <xf borderId="23" fillId="0" fontId="5" numFmtId="0" xfId="0" applyAlignment="1" applyBorder="1" applyFont="1">
      <alignment readingOrder="0" shrinkToFit="0" wrapText="0"/>
    </xf>
    <xf borderId="0" fillId="0" fontId="7" numFmtId="0" xfId="0" applyAlignment="1" applyFont="1">
      <alignment shrinkToFit="0" wrapText="0"/>
    </xf>
    <xf borderId="8" fillId="0" fontId="3" numFmtId="0" xfId="0" applyAlignment="1" applyBorder="1" applyFont="1">
      <alignment shrinkToFit="0" wrapText="0"/>
    </xf>
    <xf borderId="20" fillId="0" fontId="5" numFmtId="0" xfId="0" applyAlignment="1" applyBorder="1" applyFont="1">
      <alignment horizontal="center" shrinkToFit="0" vertical="center" wrapText="0"/>
    </xf>
    <xf borderId="19" fillId="0" fontId="29" numFmtId="164" xfId="0" applyAlignment="1" applyBorder="1" applyFont="1" applyNumberFormat="1">
      <alignment horizontal="center" readingOrder="0" shrinkToFit="0" wrapText="0"/>
    </xf>
    <xf borderId="19" fillId="0" fontId="5" numFmtId="0" xfId="0" applyAlignment="1" applyBorder="1" applyFont="1">
      <alignment readingOrder="0" shrinkToFit="0" wrapText="0"/>
    </xf>
    <xf borderId="19" fillId="0" fontId="29" numFmtId="1" xfId="0" applyAlignment="1" applyBorder="1" applyFont="1" applyNumberFormat="1">
      <alignment horizontal="center" readingOrder="0" shrinkToFit="0" wrapText="0"/>
    </xf>
    <xf borderId="8" fillId="0" fontId="4" numFmtId="0" xfId="0" applyAlignment="1" applyBorder="1" applyFont="1">
      <alignment shrinkToFit="0" wrapText="0"/>
    </xf>
    <xf borderId="8" fillId="0" fontId="5" numFmtId="0" xfId="0" applyAlignment="1" applyBorder="1" applyFont="1">
      <alignment readingOrder="0" shrinkToFit="0" wrapText="0"/>
    </xf>
    <xf borderId="19" fillId="0" fontId="7" numFmtId="0" xfId="0" applyAlignment="1" applyBorder="1" applyFont="1">
      <alignment readingOrder="0" shrinkToFit="0" wrapText="0"/>
    </xf>
    <xf borderId="19" fillId="0" fontId="29" numFmtId="0" xfId="0" applyAlignment="1" applyBorder="1" applyFont="1">
      <alignment readingOrder="0" shrinkToFit="0" wrapText="0"/>
    </xf>
    <xf borderId="0" fillId="0" fontId="5" numFmtId="0" xfId="0" applyAlignment="1" applyFont="1">
      <alignment horizontal="center" shrinkToFit="0" wrapText="0"/>
    </xf>
    <xf borderId="19" fillId="0" fontId="7" numFmtId="1" xfId="0" applyAlignment="1" applyBorder="1" applyFont="1" applyNumberFormat="1">
      <alignment readingOrder="0" shrinkToFit="0" wrapText="0"/>
    </xf>
    <xf borderId="19" fillId="0" fontId="30" numFmtId="166" xfId="0" applyAlignment="1" applyBorder="1" applyFont="1" applyNumberFormat="1">
      <alignment readingOrder="0" shrinkToFit="0" wrapText="0"/>
    </xf>
    <xf borderId="19" fillId="0" fontId="31" numFmtId="166" xfId="0" applyAlignment="1" applyBorder="1" applyFont="1" applyNumberFormat="1">
      <alignment readingOrder="0" shrinkToFit="0" wrapText="0"/>
    </xf>
    <xf borderId="8" fillId="0" fontId="11" numFmtId="0" xfId="0" applyAlignment="1" applyBorder="1" applyFont="1">
      <alignment readingOrder="0" shrinkToFit="0" wrapText="0"/>
    </xf>
    <xf borderId="19" fillId="0" fontId="29" numFmtId="165" xfId="0" applyAlignment="1" applyBorder="1" applyFont="1" applyNumberFormat="1">
      <alignment readingOrder="0" shrinkToFit="0" wrapText="0"/>
    </xf>
    <xf borderId="5" fillId="0" fontId="5" numFmtId="0" xfId="0" applyAlignment="1" applyBorder="1" applyFont="1">
      <alignment horizontal="center" shrinkToFit="0" vertical="center" wrapText="0"/>
    </xf>
    <xf borderId="19" fillId="0" fontId="31" numFmtId="166" xfId="0" applyAlignment="1" applyBorder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24" fillId="0" fontId="5" numFmtId="0" xfId="0" applyAlignment="1" applyBorder="1" applyFont="1">
      <alignment readingOrder="0" shrinkToFit="0" wrapText="0"/>
    </xf>
    <xf borderId="7" fillId="0" fontId="4" numFmtId="0" xfId="0" applyAlignment="1" applyBorder="1" applyFont="1">
      <alignment shrinkToFit="0" wrapText="0"/>
    </xf>
    <xf borderId="0" fillId="0" fontId="32" numFmtId="0" xfId="0" applyAlignment="1" applyFont="1">
      <alignment readingOrder="0" shrinkToFit="0" vertical="center" wrapText="0"/>
    </xf>
    <xf borderId="19" fillId="0" fontId="30" numFmtId="166" xfId="0" applyAlignment="1" applyBorder="1" applyFont="1" applyNumberFormat="1">
      <alignment shrinkToFit="0" wrapText="0"/>
    </xf>
    <xf borderId="12" fillId="0" fontId="11" numFmtId="0" xfId="0" applyAlignment="1" applyBorder="1" applyFont="1">
      <alignment readingOrder="0" shrinkToFit="0" wrapText="0"/>
    </xf>
    <xf borderId="12" fillId="0" fontId="5" numFmtId="0" xfId="0" applyAlignment="1" applyBorder="1" applyFont="1">
      <alignment shrinkToFit="0" wrapText="0"/>
    </xf>
    <xf borderId="16" fillId="0" fontId="5" numFmtId="165" xfId="0" applyAlignment="1" applyBorder="1" applyFont="1" applyNumberFormat="1">
      <alignment shrinkToFit="0" wrapText="0"/>
    </xf>
    <xf borderId="16" fillId="0" fontId="3" numFmtId="165" xfId="0" applyAlignment="1" applyBorder="1" applyFont="1" applyNumberFormat="1">
      <alignment shrinkToFit="0" wrapText="0"/>
    </xf>
    <xf borderId="14" fillId="0" fontId="5" numFmtId="0" xfId="0" applyAlignment="1" applyBorder="1" applyFont="1">
      <alignment horizontal="center" shrinkToFit="0" wrapText="0"/>
    </xf>
    <xf borderId="19" fillId="0" fontId="10" numFmtId="0" xfId="0" applyAlignment="1" applyBorder="1" applyFont="1">
      <alignment horizontal="center" shrinkToFit="0" wrapText="0"/>
    </xf>
    <xf borderId="19" fillId="0" fontId="10" numFmtId="165" xfId="0" applyAlignment="1" applyBorder="1" applyFont="1" applyNumberFormat="1">
      <alignment shrinkToFit="0" wrapText="0"/>
    </xf>
    <xf borderId="19" fillId="0" fontId="29" numFmtId="167" xfId="0" applyAlignment="1" applyBorder="1" applyFont="1" applyNumberFormat="1">
      <alignment horizontal="center" readingOrder="0" shrinkToFit="0" wrapText="0"/>
    </xf>
    <xf borderId="19" fillId="0" fontId="30" numFmtId="166" xfId="0" applyAlignment="1" applyBorder="1" applyFont="1" applyNumberFormat="1">
      <alignment horizontal="right" vertical="bottom"/>
    </xf>
    <xf borderId="19" fillId="0" fontId="29" numFmtId="1" xfId="0" applyAlignment="1" applyBorder="1" applyFont="1" applyNumberFormat="1">
      <alignment horizontal="center" shrinkToFit="0" wrapText="0"/>
    </xf>
    <xf borderId="2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4" fillId="0" fontId="3" numFmtId="165" xfId="0" applyAlignment="1" applyBorder="1" applyFont="1" applyNumberFormat="1">
      <alignment shrinkToFit="0" wrapText="0"/>
    </xf>
    <xf borderId="21" fillId="0" fontId="3" numFmtId="165" xfId="0" applyAlignment="1" applyBorder="1" applyFont="1" applyNumberFormat="1">
      <alignment shrinkToFit="0" wrapText="0"/>
    </xf>
    <xf borderId="26" fillId="0" fontId="3" numFmtId="0" xfId="0" applyAlignment="1" applyBorder="1" applyFont="1">
      <alignment shrinkToFit="0" wrapText="0"/>
    </xf>
    <xf borderId="26" fillId="0" fontId="3" numFmtId="165" xfId="0" applyAlignment="1" applyBorder="1" applyFont="1" applyNumberFormat="1">
      <alignment shrinkToFit="0" wrapText="0"/>
    </xf>
    <xf borderId="19" fillId="0" fontId="29" numFmtId="0" xfId="0" applyAlignment="1" applyBorder="1" applyFont="1">
      <alignment shrinkToFit="0" wrapText="0"/>
    </xf>
    <xf borderId="19" fillId="0" fontId="7" numFmtId="1" xfId="0" applyAlignment="1" applyBorder="1" applyFont="1" applyNumberFormat="1">
      <alignment shrinkToFit="0" wrapText="0"/>
    </xf>
    <xf borderId="19" fillId="0" fontId="29" numFmtId="165" xfId="0" applyAlignment="1" applyBorder="1" applyFont="1" applyNumberFormat="1">
      <alignment shrinkToFit="0" wrapText="0"/>
    </xf>
    <xf borderId="19" fillId="0" fontId="7" numFmtId="164" xfId="0" applyAlignment="1" applyBorder="1" applyFont="1" applyNumberFormat="1">
      <alignment shrinkToFit="0" wrapText="0"/>
    </xf>
    <xf borderId="19" fillId="0" fontId="7" numFmtId="1" xfId="0" applyAlignment="1" applyBorder="1" applyFont="1" applyNumberFormat="1">
      <alignment horizontal="center" shrinkToFit="0" wrapText="0"/>
    </xf>
    <xf borderId="19" fillId="0" fontId="7" numFmtId="164" xfId="0" applyAlignment="1" applyBorder="1" applyFont="1" applyNumberFormat="1">
      <alignment horizontal="center" shrinkToFit="0" wrapText="0"/>
    </xf>
    <xf borderId="19" fillId="0" fontId="29" numFmtId="164" xfId="0" applyAlignment="1" applyBorder="1" applyFont="1" applyNumberFormat="1">
      <alignment horizontal="center" shrinkToFit="0" wrapText="0"/>
    </xf>
    <xf borderId="19" fillId="0" fontId="7" numFmtId="0" xfId="0" applyAlignment="1" applyBorder="1" applyFont="1">
      <alignment shrinkToFit="0" wrapText="0"/>
    </xf>
    <xf borderId="19" fillId="0" fontId="7" numFmtId="165" xfId="0" applyAlignment="1" applyBorder="1" applyFont="1" applyNumberFormat="1">
      <alignment shrinkToFit="0" wrapText="0"/>
    </xf>
    <xf borderId="19" fillId="0" fontId="7" numFmtId="0" xfId="0" applyAlignment="1" applyBorder="1" applyFont="1">
      <alignment horizontal="center" shrinkToFit="0" wrapText="0"/>
    </xf>
    <xf borderId="19" fillId="0" fontId="7" numFmtId="168" xfId="0" applyAlignment="1" applyBorder="1" applyFont="1" applyNumberFormat="1">
      <alignment horizontal="right" shrinkToFit="0" wrapText="0"/>
    </xf>
    <xf borderId="19" fillId="0" fontId="30" numFmtId="0" xfId="0" applyAlignment="1" applyBorder="1" applyFont="1">
      <alignment shrinkToFit="0" wrapText="0"/>
    </xf>
    <xf borderId="19" fillId="0" fontId="7" numFmtId="169" xfId="0" applyAlignment="1" applyBorder="1" applyFont="1" applyNumberFormat="1">
      <alignment horizontal="right" shrinkToFit="0" wrapText="0"/>
    </xf>
    <xf borderId="19" fillId="0" fontId="7" numFmtId="169" xfId="0" applyAlignment="1" applyBorder="1" applyFont="1" applyNumberFormat="1">
      <alignment shrinkToFit="0" wrapText="0"/>
    </xf>
    <xf borderId="19" fillId="0" fontId="4" numFmtId="0" xfId="0" applyAlignment="1" applyBorder="1" applyFont="1">
      <alignment shrinkToFit="0" wrapText="0"/>
    </xf>
    <xf borderId="19" fillId="0" fontId="4" numFmtId="0" xfId="0" applyAlignment="1" applyBorder="1" applyFont="1">
      <alignment horizontal="center" shrinkToFit="0" wrapText="0"/>
    </xf>
    <xf borderId="19" fillId="0" fontId="33" numFmtId="0" xfId="0" applyAlignment="1" applyBorder="1" applyFont="1">
      <alignment shrinkToFit="0" wrapText="0"/>
    </xf>
    <xf borderId="19" fillId="0" fontId="34" numFmtId="166" xfId="0" applyAlignment="1" applyBorder="1" applyFont="1" applyNumberFormat="1">
      <alignment shrinkToFit="0" wrapText="0"/>
    </xf>
    <xf borderId="19" fillId="0" fontId="4" numFmtId="164" xfId="0" applyAlignment="1" applyBorder="1" applyFont="1" applyNumberFormat="1">
      <alignment shrinkToFit="0" wrapText="0"/>
    </xf>
    <xf borderId="19" fillId="0" fontId="33" numFmtId="166" xfId="0" applyAlignment="1" applyBorder="1" applyFont="1" applyNumberFormat="1">
      <alignment shrinkToFit="0" wrapText="0"/>
    </xf>
    <xf borderId="19" fillId="0" fontId="4" numFmtId="167" xfId="0" applyAlignment="1" applyBorder="1" applyFont="1" applyNumberFormat="1">
      <alignment shrinkToFit="0" wrapText="0"/>
    </xf>
    <xf borderId="19" fillId="0" fontId="33" numFmtId="170" xfId="0" applyAlignment="1" applyBorder="1" applyFont="1" applyNumberFormat="1">
      <alignment shrinkToFit="0" wrapText="0"/>
    </xf>
    <xf borderId="19" fillId="3" fontId="35" numFmtId="0" xfId="0" applyAlignment="1" applyBorder="1" applyFill="1" applyFont="1">
      <alignment horizontal="left"/>
    </xf>
    <xf borderId="19" fillId="0" fontId="4" numFmtId="168" xfId="0" applyAlignment="1" applyBorder="1" applyFont="1" applyNumberFormat="1">
      <alignment shrinkToFit="0" wrapText="0"/>
    </xf>
    <xf borderId="19" fillId="0" fontId="33" numFmtId="166" xfId="0" applyAlignment="1" applyBorder="1" applyFont="1" applyNumberFormat="1">
      <alignment readingOrder="0" shrinkToFit="0" wrapText="0"/>
    </xf>
    <xf borderId="19" fillId="0" fontId="34" numFmtId="166" xfId="0" applyAlignment="1" applyBorder="1" applyFont="1" applyNumberFormat="1">
      <alignment readingOrder="0" shrinkToFit="0" wrapText="0"/>
    </xf>
    <xf borderId="24" fillId="0" fontId="7" numFmtId="0" xfId="0" applyAlignment="1" applyBorder="1" applyFont="1">
      <alignment shrinkToFit="0" wrapText="0"/>
    </xf>
    <xf borderId="0" fillId="0" fontId="33" numFmtId="166" xfId="0" applyAlignment="1" applyFont="1" applyNumberFormat="1">
      <alignment shrinkToFit="0" wrapText="0"/>
    </xf>
    <xf borderId="0" fillId="0" fontId="34" numFmtId="166" xfId="0" applyAlignment="1" applyFont="1" applyNumberFormat="1">
      <alignment shrinkToFit="0" wrapText="0"/>
    </xf>
    <xf borderId="1" fillId="0" fontId="2" numFmtId="0" xfId="0" applyAlignment="1" applyBorder="1" applyFont="1">
      <alignment horizontal="center" shrinkToFit="0" wrapText="1"/>
    </xf>
    <xf borderId="3" fillId="0" fontId="6" numFmtId="0" xfId="0" applyBorder="1" applyFont="1"/>
    <xf borderId="5" fillId="0" fontId="6" numFmtId="0" xfId="0" applyBorder="1" applyFont="1"/>
    <xf borderId="8" fillId="0" fontId="7" numFmtId="0" xfId="0" applyAlignment="1" applyBorder="1" applyFont="1">
      <alignment horizontal="center" shrinkToFit="0" vertical="center" wrapText="1"/>
    </xf>
    <xf borderId="9" fillId="0" fontId="6" numFmtId="0" xfId="0" applyBorder="1" applyFont="1"/>
    <xf borderId="27" fillId="0" fontId="22" numFmtId="0" xfId="0" applyAlignment="1" applyBorder="1" applyFont="1">
      <alignment horizontal="center" readingOrder="0" shrinkToFit="0" vertical="center" wrapText="1"/>
    </xf>
    <xf borderId="28" fillId="0" fontId="6" numFmtId="0" xfId="0" applyBorder="1" applyFont="1"/>
    <xf borderId="8" fillId="0" fontId="36" numFmtId="0" xfId="0" applyAlignment="1" applyBorder="1" applyFont="1">
      <alignment horizontal="center" readingOrder="0" shrinkToFit="0" vertical="center" wrapText="1"/>
    </xf>
    <xf borderId="29" fillId="2" fontId="11" numFmtId="164" xfId="0" applyAlignment="1" applyBorder="1" applyFill="1" applyFont="1" applyNumberFormat="1">
      <alignment horizontal="center" shrinkToFit="0" vertical="center" wrapText="1"/>
    </xf>
    <xf borderId="29" fillId="2" fontId="11" numFmtId="0" xfId="0" applyAlignment="1" applyBorder="1" applyFill="1" applyFont="1">
      <alignment horizontal="center" shrinkToFit="0" vertical="center" wrapText="1"/>
    </xf>
    <xf borderId="29" fillId="2" fontId="11" numFmtId="16" xfId="0" applyAlignment="1" applyBorder="1" applyFill="1" applyFont="1" applyNumberFormat="1">
      <alignment horizontal="center" shrinkToFit="0" vertical="center" wrapText="1"/>
    </xf>
    <xf borderId="30" fillId="2" fontId="11" numFmtId="0" xfId="0" applyAlignment="1" applyBorder="1" applyFill="1" applyFont="1">
      <alignment horizontal="center" shrinkToFit="0" vertical="center" wrapText="1"/>
    </xf>
    <xf borderId="31" fillId="2" fontId="11" numFmtId="0" xfId="0" applyAlignment="1" applyBorder="1" applyFill="1" applyFont="1">
      <alignment horizontal="center" shrinkToFit="0" vertical="center" wrapText="1"/>
    </xf>
    <xf borderId="32" fillId="2" fontId="11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shrinkToFit="0" wrapText="0"/>
    </xf>
    <xf borderId="3" fillId="0" fontId="4" numFmtId="10" xfId="0" applyAlignment="1" applyBorder="1" applyFont="1" applyNumberFormat="1">
      <alignment shrinkToFit="0" wrapText="0"/>
    </xf>
    <xf borderId="3" fillId="0" fontId="4" numFmtId="165" xfId="0" applyAlignment="1" applyBorder="1" applyFont="1" applyNumberFormat="1">
      <alignment shrinkToFit="0" wrapText="0"/>
    </xf>
    <xf borderId="5" fillId="0" fontId="4" numFmtId="0" xfId="0" applyAlignment="1" applyBorder="1" applyFont="1">
      <alignment shrinkToFit="0" wrapText="0"/>
    </xf>
    <xf borderId="9" fillId="0" fontId="4" numFmtId="0" xfId="0" applyAlignment="1" applyBorder="1" applyFont="1">
      <alignment shrinkToFit="0" wrapText="0"/>
    </xf>
    <xf borderId="8" fillId="0" fontId="4" numFmtId="0" xfId="0" applyAlignment="1" applyBorder="1" applyFont="1">
      <alignment readingOrder="0" shrinkToFit="0" wrapText="0"/>
    </xf>
    <xf borderId="3" fillId="0" fontId="4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167" xfId="0" applyAlignment="1" applyFont="1" applyNumberFormat="1">
      <alignment readingOrder="0" shrinkToFit="0" wrapText="0"/>
    </xf>
    <xf borderId="0" fillId="0" fontId="4" numFmtId="165" xfId="0" applyAlignment="1" applyFont="1" applyNumberFormat="1">
      <alignment readingOrder="0" shrinkToFit="0" wrapText="0"/>
    </xf>
    <xf borderId="9" fillId="0" fontId="4" numFmtId="0" xfId="0" applyAlignment="1" applyBorder="1" applyFont="1">
      <alignment readingOrder="0" shrinkToFit="0" wrapText="0"/>
    </xf>
    <xf borderId="8" fillId="0" fontId="35" numFmtId="0" xfId="0" applyAlignment="1" applyBorder="1" applyFont="1">
      <alignment horizontal="right" readingOrder="0" vertical="bottom"/>
    </xf>
    <xf borderId="3" fillId="0" fontId="35" numFmtId="0" xfId="0" applyAlignment="1" applyBorder="1" applyFont="1">
      <alignment vertical="bottom"/>
    </xf>
    <xf borderId="0" fillId="0" fontId="35" numFmtId="0" xfId="0" applyAlignment="1" applyFont="1">
      <alignment vertical="bottom"/>
    </xf>
    <xf borderId="0" fillId="0" fontId="35" numFmtId="167" xfId="0" applyAlignment="1" applyFont="1" applyNumberFormat="1">
      <alignment horizontal="right" readingOrder="0" vertical="bottom"/>
    </xf>
    <xf borderId="0" fillId="0" fontId="35" numFmtId="0" xfId="0" applyAlignment="1" applyFont="1">
      <alignment readingOrder="0" vertical="bottom"/>
    </xf>
    <xf borderId="0" fillId="0" fontId="35" numFmtId="165" xfId="0" applyAlignment="1" applyFont="1" applyNumberFormat="1">
      <alignment horizontal="right" readingOrder="0" vertical="bottom"/>
    </xf>
    <xf borderId="0" fillId="0" fontId="37" numFmtId="0" xfId="0" applyAlignment="1" applyFont="1">
      <alignment vertical="bottom"/>
    </xf>
    <xf borderId="9" fillId="0" fontId="35" numFmtId="0" xfId="0" applyAlignment="1" applyBorder="1" applyFont="1">
      <alignment vertical="bottom"/>
    </xf>
    <xf borderId="0" fillId="0" fontId="35" numFmtId="167" xfId="0" applyAlignment="1" applyFont="1" applyNumberFormat="1">
      <alignment horizontal="right" vertical="bottom"/>
    </xf>
    <xf borderId="0" fillId="0" fontId="35" numFmtId="165" xfId="0" applyAlignment="1" applyFont="1" applyNumberFormat="1">
      <alignment horizontal="right" vertical="bottom"/>
    </xf>
    <xf borderId="0" fillId="0" fontId="4" numFmtId="10" xfId="0" applyAlignment="1" applyFont="1" applyNumberFormat="1">
      <alignment shrinkToFit="0" wrapText="0"/>
    </xf>
    <xf borderId="0" fillId="0" fontId="4" numFmtId="165" xfId="0" applyAlignment="1" applyFont="1" applyNumberFormat="1">
      <alignment shrinkToFit="0" wrapText="0"/>
    </xf>
    <xf borderId="12" fillId="0" fontId="4" numFmtId="0" xfId="0" applyAlignment="1" applyBorder="1" applyFont="1">
      <alignment shrinkToFit="0" wrapText="0"/>
    </xf>
    <xf borderId="14" fillId="0" fontId="4" numFmtId="0" xfId="0" applyAlignment="1" applyBorder="1" applyFont="1">
      <alignment shrinkToFit="0" wrapText="0"/>
    </xf>
    <xf borderId="14" fillId="0" fontId="4" numFmtId="10" xfId="0" applyAlignment="1" applyBorder="1" applyFont="1" applyNumberFormat="1">
      <alignment shrinkToFit="0" wrapText="0"/>
    </xf>
    <xf borderId="14" fillId="0" fontId="4" numFmtId="165" xfId="0" applyAlignment="1" applyBorder="1" applyFont="1" applyNumberFormat="1">
      <alignment shrinkToFit="0" wrapText="0"/>
    </xf>
    <xf borderId="16" fillId="0" fontId="4" numFmtId="0" xfId="0" applyAlignment="1" applyBorder="1" applyFont="1">
      <alignment shrinkToFit="0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552450" cy="7620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23900" cy="1009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9239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93345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04850" cy="97155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6.5"/>
    <col customWidth="1" min="2" max="2" width="10.75"/>
    <col customWidth="1" min="3" max="3" width="11.63"/>
    <col customWidth="1" min="4" max="4" width="39.75"/>
    <col customWidth="1" min="5" max="5" width="8.88"/>
    <col customWidth="1" min="6" max="11" width="8.0"/>
    <col customWidth="1" min="12" max="12" width="7.0"/>
    <col customWidth="1" min="13" max="22" width="15.13"/>
  </cols>
  <sheetData>
    <row r="1" ht="28.5" customHeight="1">
      <c r="A1" s="2" t="s">
        <v>1</v>
      </c>
      <c r="F1" s="6"/>
      <c r="G1" s="6"/>
      <c r="H1" s="6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12"/>
      <c r="X1" s="12"/>
      <c r="Y1" s="12"/>
      <c r="Z1" s="12"/>
    </row>
    <row r="2">
      <c r="A2" s="11" t="s">
        <v>2</v>
      </c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12"/>
      <c r="X2" s="12"/>
      <c r="Y2" s="12"/>
      <c r="Z2" s="12"/>
    </row>
    <row r="3" ht="20.25" customHeight="1">
      <c r="A3" s="18" t="s">
        <v>3</v>
      </c>
      <c r="B3" s="15"/>
      <c r="C3" s="15"/>
      <c r="D3" s="15"/>
      <c r="E3" s="15"/>
      <c r="F3" s="3"/>
      <c r="G3" s="3"/>
      <c r="H3" s="3"/>
      <c r="I3" s="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12"/>
      <c r="X3" s="12"/>
      <c r="Y3" s="12"/>
      <c r="Z3" s="12"/>
    </row>
    <row r="4" ht="25.5" customHeight="1">
      <c r="A4" s="25" t="s">
        <v>6</v>
      </c>
      <c r="B4" s="26"/>
      <c r="C4" s="26"/>
      <c r="D4" s="26"/>
      <c r="E4" s="26"/>
      <c r="F4" s="3"/>
      <c r="G4" s="3"/>
      <c r="H4" s="3"/>
      <c r="I4" s="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2"/>
      <c r="X4" s="12"/>
      <c r="Y4" s="12"/>
      <c r="Z4" s="12"/>
    </row>
    <row r="5" ht="15.75" customHeight="1">
      <c r="A5" s="34" t="s">
        <v>9</v>
      </c>
      <c r="B5" s="37" t="s">
        <v>10</v>
      </c>
      <c r="C5" s="34"/>
      <c r="D5" s="34" t="s">
        <v>9</v>
      </c>
      <c r="E5" s="37" t="s">
        <v>10</v>
      </c>
      <c r="F5" s="6"/>
      <c r="G5" s="6"/>
      <c r="H5" s="6"/>
      <c r="I5" s="6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12"/>
      <c r="X5" s="12"/>
      <c r="Y5" s="12"/>
      <c r="Z5" s="12"/>
    </row>
    <row r="6" ht="15.75" customHeight="1">
      <c r="A6" s="47"/>
      <c r="B6" s="48"/>
      <c r="C6" s="6"/>
      <c r="D6" s="6"/>
      <c r="E6" s="6"/>
      <c r="F6" s="6"/>
      <c r="G6" s="6"/>
      <c r="H6" s="6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12"/>
      <c r="X6" s="12"/>
      <c r="Y6" s="12"/>
      <c r="Z6" s="12"/>
    </row>
    <row r="7">
      <c r="A7" s="52" t="s">
        <v>11</v>
      </c>
      <c r="B7" s="54"/>
      <c r="C7" s="56"/>
      <c r="D7" s="56" t="s">
        <v>13</v>
      </c>
      <c r="E7" s="58"/>
      <c r="F7" s="6"/>
      <c r="G7" s="6"/>
      <c r="H7" s="6"/>
      <c r="I7" s="6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12"/>
      <c r="X7" s="12"/>
      <c r="Y7" s="12"/>
      <c r="Z7" s="12"/>
    </row>
    <row r="8">
      <c r="A8" s="61" t="s">
        <v>15</v>
      </c>
      <c r="B8" s="62">
        <v>100.0</v>
      </c>
      <c r="C8" s="6"/>
      <c r="D8" s="64" t="s">
        <v>17</v>
      </c>
      <c r="E8" s="68">
        <v>200.0</v>
      </c>
      <c r="F8" s="6"/>
      <c r="G8" s="6"/>
      <c r="H8" s="6"/>
      <c r="I8" s="6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12"/>
      <c r="X8" s="12"/>
      <c r="Y8" s="12"/>
      <c r="Z8" s="12"/>
    </row>
    <row r="9">
      <c r="A9" s="72" t="s">
        <v>25</v>
      </c>
      <c r="B9" s="62">
        <v>101.0</v>
      </c>
      <c r="C9" s="6"/>
      <c r="D9" s="75" t="s">
        <v>27</v>
      </c>
      <c r="E9" s="68">
        <v>201.0</v>
      </c>
      <c r="F9" s="6"/>
      <c r="G9" s="6"/>
      <c r="H9" s="6"/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12"/>
      <c r="X9" s="12"/>
      <c r="Y9" s="12"/>
      <c r="Z9" s="12"/>
    </row>
    <row r="10">
      <c r="A10" s="72" t="s">
        <v>29</v>
      </c>
      <c r="B10" s="62">
        <v>102.0</v>
      </c>
      <c r="C10" s="6"/>
      <c r="D10" s="72" t="s">
        <v>30</v>
      </c>
      <c r="E10" s="78">
        <v>202.0</v>
      </c>
      <c r="F10" s="6"/>
      <c r="G10" s="6"/>
      <c r="H10" s="6"/>
      <c r="I10" s="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12"/>
      <c r="X10" s="12"/>
      <c r="Y10" s="12"/>
      <c r="Z10" s="12"/>
    </row>
    <row r="11">
      <c r="A11" s="85" t="s">
        <v>33</v>
      </c>
      <c r="B11" s="78">
        <v>107.0</v>
      </c>
      <c r="C11" s="49"/>
      <c r="D11" s="72" t="s">
        <v>34</v>
      </c>
      <c r="E11" s="88">
        <v>203.0</v>
      </c>
      <c r="F11" s="6"/>
      <c r="G11" s="6"/>
      <c r="H11" s="6"/>
      <c r="I11" s="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12"/>
      <c r="X11" s="12"/>
      <c r="Y11" s="12"/>
      <c r="Z11" s="12"/>
    </row>
    <row r="12">
      <c r="A12" s="72" t="s">
        <v>36</v>
      </c>
      <c r="B12" s="88">
        <v>108.0</v>
      </c>
      <c r="C12" s="93"/>
      <c r="D12" s="85" t="s">
        <v>38</v>
      </c>
      <c r="E12" s="88">
        <v>204.0</v>
      </c>
      <c r="F12" s="6"/>
      <c r="G12" s="6"/>
      <c r="H12" s="6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12"/>
      <c r="X12" s="12"/>
      <c r="Y12" s="12"/>
      <c r="Z12" s="12"/>
    </row>
    <row r="13">
      <c r="A13" s="72" t="s">
        <v>40</v>
      </c>
      <c r="B13" s="88">
        <v>109.0</v>
      </c>
      <c r="C13" s="49"/>
      <c r="D13" s="72" t="s">
        <v>41</v>
      </c>
      <c r="E13" s="88">
        <v>205.0</v>
      </c>
      <c r="F13" s="6"/>
      <c r="G13" s="6"/>
      <c r="H13" s="6"/>
      <c r="I13" s="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12"/>
      <c r="X13" s="12"/>
      <c r="Y13" s="12"/>
      <c r="Z13" s="12"/>
    </row>
    <row r="14">
      <c r="A14" s="72" t="s">
        <v>42</v>
      </c>
      <c r="B14" s="88">
        <v>110.0</v>
      </c>
      <c r="C14" s="49"/>
      <c r="D14" s="85" t="s">
        <v>43</v>
      </c>
      <c r="E14" s="88">
        <v>206.0</v>
      </c>
      <c r="F14" s="6"/>
      <c r="G14" s="6"/>
      <c r="H14" s="6"/>
      <c r="I14" s="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12"/>
      <c r="X14" s="12"/>
      <c r="Y14" s="12"/>
      <c r="Z14" s="12"/>
    </row>
    <row r="15">
      <c r="A15" s="85" t="s">
        <v>44</v>
      </c>
      <c r="B15" s="88">
        <v>111.0</v>
      </c>
      <c r="C15" s="93"/>
      <c r="D15" s="85" t="s">
        <v>45</v>
      </c>
      <c r="E15" s="88">
        <v>207.0</v>
      </c>
      <c r="F15" s="6"/>
      <c r="G15" s="6"/>
      <c r="H15" s="6"/>
      <c r="I15" s="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12"/>
      <c r="X15" s="12"/>
      <c r="Y15" s="12"/>
      <c r="Z15" s="12"/>
    </row>
    <row r="16">
      <c r="A16" s="85" t="s">
        <v>46</v>
      </c>
      <c r="B16" s="88">
        <v>112.0</v>
      </c>
      <c r="C16" s="49"/>
      <c r="D16" s="72" t="s">
        <v>36</v>
      </c>
      <c r="E16" s="88">
        <v>208.0</v>
      </c>
      <c r="F16" s="6"/>
      <c r="G16" s="6"/>
      <c r="H16" s="6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12"/>
      <c r="X16" s="12"/>
      <c r="Y16" s="12"/>
      <c r="Z16" s="12"/>
    </row>
    <row r="17">
      <c r="A17" s="72" t="s">
        <v>49</v>
      </c>
      <c r="B17" s="88">
        <v>113.0</v>
      </c>
      <c r="C17" s="49"/>
      <c r="D17" s="72" t="s">
        <v>50</v>
      </c>
      <c r="E17" s="88">
        <v>209.0</v>
      </c>
      <c r="F17" s="6"/>
      <c r="G17" s="6"/>
      <c r="H17" s="6"/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12"/>
      <c r="X17" s="12"/>
      <c r="Y17" s="12"/>
      <c r="Z17" s="12"/>
    </row>
    <row r="18">
      <c r="A18" s="85" t="s">
        <v>53</v>
      </c>
      <c r="B18" s="102">
        <v>114.0</v>
      </c>
      <c r="C18" s="49"/>
      <c r="D18" s="72" t="s">
        <v>54</v>
      </c>
      <c r="E18" s="88">
        <v>210.0</v>
      </c>
      <c r="F18" s="6"/>
      <c r="G18" s="6"/>
      <c r="H18" s="6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12"/>
      <c r="X18" s="12"/>
      <c r="Y18" s="12"/>
      <c r="Z18" s="12"/>
    </row>
    <row r="19" ht="15.75" customHeight="1">
      <c r="A19" s="85" t="s">
        <v>55</v>
      </c>
      <c r="B19" s="62">
        <v>115.0</v>
      </c>
      <c r="C19" s="104"/>
      <c r="D19" s="85" t="s">
        <v>44</v>
      </c>
      <c r="E19" s="88">
        <v>211.0</v>
      </c>
      <c r="F19" s="6"/>
      <c r="G19" s="6"/>
      <c r="H19" s="6"/>
      <c r="I19" s="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12"/>
      <c r="X19" s="12"/>
      <c r="Y19" s="12"/>
      <c r="Z19" s="12"/>
    </row>
    <row r="20" ht="15.75" customHeight="1">
      <c r="A20" s="72" t="s">
        <v>59</v>
      </c>
      <c r="B20" s="62">
        <v>116.0</v>
      </c>
      <c r="C20" s="104"/>
      <c r="D20" s="85" t="s">
        <v>46</v>
      </c>
      <c r="E20" s="88">
        <v>212.0</v>
      </c>
      <c r="F20" s="6"/>
      <c r="G20" s="6"/>
      <c r="H20" s="6"/>
      <c r="I20" s="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12"/>
      <c r="X20" s="12"/>
      <c r="Y20" s="12"/>
      <c r="Z20" s="12"/>
    </row>
    <row r="21" ht="15.75" customHeight="1">
      <c r="A21" s="85" t="s">
        <v>60</v>
      </c>
      <c r="B21" s="62">
        <v>117.0</v>
      </c>
      <c r="C21" s="104"/>
      <c r="D21" s="85" t="s">
        <v>49</v>
      </c>
      <c r="E21" s="88">
        <v>213.0</v>
      </c>
      <c r="F21" s="6"/>
      <c r="G21" s="6"/>
      <c r="H21" s="6"/>
      <c r="I21" s="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12"/>
      <c r="X21" s="12"/>
      <c r="Y21" s="12"/>
      <c r="Z21" s="12"/>
    </row>
    <row r="22" ht="15.75" customHeight="1">
      <c r="A22" s="72" t="s">
        <v>63</v>
      </c>
      <c r="B22" s="62">
        <v>118.0</v>
      </c>
      <c r="C22" s="104"/>
      <c r="D22" s="85" t="s">
        <v>53</v>
      </c>
      <c r="E22" s="88">
        <v>214.0</v>
      </c>
      <c r="F22" s="6"/>
      <c r="G22" s="6"/>
      <c r="H22" s="6"/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12"/>
      <c r="X22" s="12"/>
      <c r="Y22" s="12"/>
      <c r="Z22" s="12"/>
    </row>
    <row r="23" ht="15.75" customHeight="1">
      <c r="A23" s="72" t="s">
        <v>64</v>
      </c>
      <c r="B23" s="62">
        <v>119.0</v>
      </c>
      <c r="C23" s="104"/>
      <c r="D23" s="85" t="s">
        <v>55</v>
      </c>
      <c r="E23" s="88">
        <v>215.0</v>
      </c>
      <c r="F23" s="6"/>
      <c r="G23" s="6"/>
      <c r="H23" s="6"/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12"/>
      <c r="X23" s="12"/>
      <c r="Y23" s="12"/>
      <c r="Z23" s="12"/>
    </row>
    <row r="24" ht="15.75" customHeight="1">
      <c r="A24" s="105" t="s">
        <v>67</v>
      </c>
      <c r="B24" s="62">
        <v>121.0</v>
      </c>
      <c r="C24" s="6"/>
      <c r="D24" s="72" t="s">
        <v>59</v>
      </c>
      <c r="E24" s="88">
        <v>216.0</v>
      </c>
      <c r="F24" s="6"/>
      <c r="G24" s="6"/>
      <c r="H24" s="6"/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12"/>
      <c r="X24" s="12"/>
      <c r="Y24" s="12"/>
      <c r="Z24" s="12"/>
    </row>
    <row r="25" ht="15.75" customHeight="1">
      <c r="A25" s="49"/>
      <c r="B25" s="58"/>
      <c r="C25" s="104"/>
      <c r="D25" s="85" t="s">
        <v>60</v>
      </c>
      <c r="E25" s="88">
        <v>217.0</v>
      </c>
      <c r="F25" s="6"/>
      <c r="G25" s="6"/>
      <c r="H25" s="6"/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12"/>
      <c r="X25" s="12"/>
      <c r="Y25" s="12"/>
      <c r="Z25" s="12"/>
    </row>
    <row r="26" ht="15.75" customHeight="1">
      <c r="A26" s="56"/>
      <c r="B26" s="58"/>
      <c r="C26" s="6"/>
      <c r="D26" s="72" t="s">
        <v>63</v>
      </c>
      <c r="E26" s="88">
        <v>218.0</v>
      </c>
      <c r="F26" s="6"/>
      <c r="G26" s="6"/>
      <c r="H26" s="6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12"/>
      <c r="X26" s="12"/>
      <c r="Y26" s="12"/>
      <c r="Z26" s="12"/>
    </row>
    <row r="27" ht="15.75" customHeight="1">
      <c r="A27" s="6"/>
      <c r="B27" s="58"/>
      <c r="C27" s="6"/>
      <c r="D27" s="72" t="s">
        <v>70</v>
      </c>
      <c r="E27" s="88">
        <v>220.0</v>
      </c>
      <c r="F27" s="6"/>
      <c r="G27" s="6"/>
      <c r="H27" s="6"/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12"/>
      <c r="X27" s="12"/>
      <c r="Y27" s="12"/>
      <c r="Z27" s="12"/>
    </row>
    <row r="28" ht="15.75" customHeight="1">
      <c r="A28" s="6"/>
      <c r="B28" s="58"/>
      <c r="C28" s="104"/>
      <c r="D28" s="105" t="s">
        <v>67</v>
      </c>
      <c r="E28" s="88">
        <v>221.0</v>
      </c>
      <c r="F28" s="6"/>
      <c r="G28" s="6"/>
      <c r="H28" s="6"/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12"/>
      <c r="X28" s="12"/>
      <c r="Y28" s="12"/>
      <c r="Z28" s="12"/>
    </row>
    <row r="29" ht="15.75" customHeight="1">
      <c r="A29" s="107" t="s">
        <v>73</v>
      </c>
      <c r="C29" s="6"/>
      <c r="D29" s="6"/>
      <c r="E29" s="6"/>
      <c r="F29" s="6"/>
      <c r="G29" s="6"/>
      <c r="H29" s="6"/>
      <c r="I29" s="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12"/>
      <c r="X29" s="12"/>
      <c r="Y29" s="12"/>
      <c r="Z29" s="12"/>
    </row>
    <row r="30" ht="15.75" customHeight="1">
      <c r="A30" s="6"/>
      <c r="B30" s="58"/>
      <c r="C30" s="6"/>
      <c r="D30" s="6"/>
      <c r="E30" s="6"/>
      <c r="F30" s="6"/>
      <c r="G30" s="6"/>
      <c r="H30" s="6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12"/>
      <c r="X30" s="12"/>
      <c r="Y30" s="12"/>
      <c r="Z30" s="12"/>
    </row>
    <row r="31" ht="15.75" customHeight="1">
      <c r="A31" s="104"/>
      <c r="B31" s="58"/>
      <c r="C31" s="6"/>
      <c r="D31" s="6"/>
      <c r="E31" s="6"/>
      <c r="F31" s="6"/>
      <c r="G31" s="6"/>
      <c r="H31" s="6"/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12"/>
      <c r="X31" s="12"/>
      <c r="Y31" s="12"/>
      <c r="Z31" s="12"/>
    </row>
    <row r="32" ht="15.75" customHeight="1">
      <c r="A32" s="6"/>
      <c r="B32" s="58"/>
      <c r="C32" s="6"/>
      <c r="D32" s="6"/>
      <c r="E32" s="6"/>
      <c r="F32" s="6"/>
      <c r="G32" s="6"/>
      <c r="H32" s="6"/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12"/>
      <c r="X32" s="12"/>
      <c r="Y32" s="12"/>
      <c r="Z32" s="12"/>
    </row>
    <row r="33" ht="15.75" customHeight="1">
      <c r="A33" s="6"/>
      <c r="B33" s="58"/>
      <c r="C33" s="6"/>
      <c r="D33" s="6"/>
      <c r="E33" s="6"/>
      <c r="F33" s="6"/>
      <c r="G33" s="6"/>
      <c r="H33" s="6"/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12"/>
      <c r="X33" s="12"/>
      <c r="Y33" s="12"/>
      <c r="Z33" s="12"/>
    </row>
    <row r="34" ht="15.75" customHeight="1">
      <c r="A34" s="104"/>
      <c r="B34" s="58"/>
      <c r="C34" s="6"/>
      <c r="D34" s="6"/>
      <c r="E34" s="6"/>
      <c r="F34" s="6"/>
      <c r="G34" s="6"/>
      <c r="H34" s="6"/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12"/>
      <c r="X34" s="12"/>
      <c r="Y34" s="12"/>
      <c r="Z34" s="12"/>
    </row>
    <row r="35" ht="15.75" customHeight="1">
      <c r="A35" s="6"/>
      <c r="B35" s="58"/>
      <c r="C35" s="6"/>
      <c r="D35" s="6"/>
      <c r="E35" s="6"/>
      <c r="F35" s="6"/>
      <c r="G35" s="6"/>
      <c r="H35" s="6"/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12"/>
      <c r="X35" s="12"/>
      <c r="Y35" s="12"/>
      <c r="Z35" s="12"/>
    </row>
    <row r="36" ht="15.75" customHeight="1">
      <c r="A36" s="6"/>
      <c r="B36" s="58"/>
      <c r="C36" s="6"/>
      <c r="D36" s="6"/>
      <c r="E36" s="6"/>
      <c r="F36" s="6"/>
      <c r="G36" s="6"/>
      <c r="H36" s="6"/>
      <c r="I36" s="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12"/>
      <c r="X36" s="12"/>
      <c r="Y36" s="12"/>
      <c r="Z36" s="12"/>
    </row>
    <row r="37" ht="15.75" customHeight="1">
      <c r="A37" s="6"/>
      <c r="B37" s="58"/>
      <c r="C37" s="6"/>
      <c r="D37" s="6"/>
      <c r="E37" s="6"/>
      <c r="F37" s="6"/>
      <c r="G37" s="6"/>
      <c r="H37" s="6"/>
      <c r="I37" s="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12"/>
      <c r="X37" s="12"/>
      <c r="Y37" s="12"/>
      <c r="Z37" s="12"/>
    </row>
    <row r="38" ht="15.75" customHeight="1">
      <c r="A38" s="104"/>
      <c r="B38" s="58"/>
      <c r="C38" s="6"/>
      <c r="D38" s="6"/>
      <c r="E38" s="6"/>
      <c r="F38" s="6"/>
      <c r="G38" s="6"/>
      <c r="H38" s="6"/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12"/>
      <c r="X38" s="12"/>
      <c r="Y38" s="12"/>
      <c r="Z38" s="12"/>
    </row>
    <row r="39" ht="15.75" customHeight="1">
      <c r="A39" s="104"/>
      <c r="B39" s="58"/>
      <c r="C39" s="6"/>
      <c r="D39" s="6"/>
      <c r="E39" s="6"/>
      <c r="F39" s="6"/>
      <c r="G39" s="6"/>
      <c r="H39" s="6"/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12"/>
      <c r="X39" s="12"/>
      <c r="Y39" s="12"/>
      <c r="Z39" s="12"/>
    </row>
    <row r="40" ht="15.75" customHeight="1">
      <c r="A40" s="104"/>
      <c r="B40" s="58"/>
      <c r="C40" s="6"/>
      <c r="D40" s="6"/>
      <c r="E40" s="6"/>
      <c r="F40" s="6"/>
      <c r="G40" s="6"/>
      <c r="H40" s="6"/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12"/>
      <c r="X40" s="12"/>
      <c r="Y40" s="12"/>
      <c r="Z40" s="12"/>
    </row>
    <row r="41" ht="15.75" customHeight="1">
      <c r="A41" s="104"/>
      <c r="B41" s="58"/>
      <c r="C41" s="6"/>
      <c r="D41" s="6"/>
      <c r="E41" s="6"/>
      <c r="F41" s="6"/>
      <c r="G41" s="6"/>
      <c r="H41" s="6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12"/>
      <c r="X41" s="12"/>
      <c r="Y41" s="12"/>
      <c r="Z41" s="12"/>
    </row>
    <row r="42" ht="15.75" customHeight="1">
      <c r="A42" s="104"/>
      <c r="B42" s="58"/>
      <c r="C42" s="6"/>
      <c r="D42" s="6"/>
      <c r="E42" s="6"/>
      <c r="F42" s="6"/>
      <c r="G42" s="6"/>
      <c r="H42" s="6"/>
      <c r="I42" s="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12"/>
      <c r="X42" s="12"/>
      <c r="Y42" s="12"/>
      <c r="Z42" s="12"/>
    </row>
    <row r="43" ht="15.75" customHeight="1">
      <c r="A43" s="6"/>
      <c r="B43" s="58"/>
      <c r="C43" s="6"/>
      <c r="D43" s="6"/>
      <c r="E43" s="6"/>
      <c r="F43" s="6"/>
      <c r="G43" s="6"/>
      <c r="H43" s="6"/>
      <c r="I43" s="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12"/>
      <c r="X43" s="12"/>
      <c r="Y43" s="12"/>
      <c r="Z43" s="12"/>
    </row>
    <row r="44" ht="15.75" customHeight="1">
      <c r="A44" s="104"/>
      <c r="B44" s="58"/>
      <c r="C44" s="6"/>
      <c r="D44" s="6"/>
      <c r="E44" s="6"/>
      <c r="F44" s="6"/>
      <c r="G44" s="6"/>
      <c r="H44" s="6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12"/>
      <c r="X44" s="12"/>
      <c r="Y44" s="12"/>
      <c r="Z44" s="12"/>
    </row>
    <row r="45" ht="15.75" customHeight="1">
      <c r="A45" s="6"/>
      <c r="B45" s="58"/>
      <c r="C45" s="6"/>
      <c r="D45" s="6"/>
      <c r="E45" s="6"/>
      <c r="F45" s="6"/>
      <c r="G45" s="6"/>
      <c r="H45" s="6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12"/>
      <c r="X45" s="12"/>
      <c r="Y45" s="12"/>
      <c r="Z45" s="12"/>
    </row>
    <row r="46" ht="15.75" customHeight="1">
      <c r="A46" s="6"/>
      <c r="B46" s="58"/>
      <c r="C46" s="6"/>
      <c r="D46" s="6"/>
      <c r="E46" s="6"/>
      <c r="F46" s="6"/>
      <c r="G46" s="6"/>
      <c r="H46" s="6"/>
      <c r="I46" s="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12"/>
      <c r="X46" s="12"/>
      <c r="Y46" s="12"/>
      <c r="Z46" s="12"/>
    </row>
    <row r="47" ht="15.75" customHeight="1">
      <c r="A47" s="104"/>
      <c r="B47" s="58"/>
      <c r="C47" s="6"/>
      <c r="D47" s="6"/>
      <c r="E47" s="6"/>
      <c r="F47" s="6"/>
      <c r="G47" s="6"/>
      <c r="H47" s="6"/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12"/>
      <c r="X47" s="12"/>
      <c r="Y47" s="12"/>
      <c r="Z47" s="12"/>
    </row>
    <row r="48" ht="15.75" customHeight="1">
      <c r="A48" s="10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12"/>
      <c r="X48" s="12"/>
      <c r="Y48" s="12"/>
      <c r="Z48" s="12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12"/>
      <c r="X49" s="12"/>
      <c r="Y49" s="12"/>
      <c r="Z49" s="12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12"/>
      <c r="X50" s="12"/>
      <c r="Y50" s="12"/>
      <c r="Z50" s="12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12"/>
      <c r="X51" s="12"/>
      <c r="Y51" s="12"/>
      <c r="Z51" s="12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12"/>
      <c r="X52" s="12"/>
      <c r="Y52" s="12"/>
      <c r="Z52" s="12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12"/>
      <c r="X53" s="12"/>
      <c r="Y53" s="12"/>
      <c r="Z53" s="12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12"/>
      <c r="X54" s="12"/>
      <c r="Y54" s="12"/>
      <c r="Z54" s="12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12"/>
      <c r="X55" s="12"/>
      <c r="Y55" s="12"/>
      <c r="Z55" s="12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12"/>
      <c r="X56" s="12"/>
      <c r="Y56" s="12"/>
      <c r="Z56" s="12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12"/>
      <c r="X57" s="12"/>
      <c r="Y57" s="12"/>
      <c r="Z57" s="12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12"/>
      <c r="X58" s="12"/>
      <c r="Y58" s="12"/>
      <c r="Z58" s="12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12"/>
      <c r="X59" s="12"/>
      <c r="Y59" s="12"/>
      <c r="Z59" s="12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12"/>
      <c r="X60" s="12"/>
      <c r="Y60" s="12"/>
      <c r="Z60" s="12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12"/>
      <c r="X61" s="12"/>
      <c r="Y61" s="12"/>
      <c r="Z61" s="12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12"/>
      <c r="X62" s="12"/>
      <c r="Y62" s="12"/>
      <c r="Z62" s="12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12"/>
      <c r="X63" s="12"/>
      <c r="Y63" s="12"/>
      <c r="Z63" s="12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12"/>
      <c r="X64" s="12"/>
      <c r="Y64" s="12"/>
      <c r="Z64" s="12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12"/>
      <c r="X65" s="12"/>
      <c r="Y65" s="12"/>
      <c r="Z65" s="12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12"/>
      <c r="X66" s="12"/>
      <c r="Y66" s="12"/>
      <c r="Z66" s="12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12"/>
      <c r="X67" s="12"/>
      <c r="Y67" s="12"/>
      <c r="Z67" s="12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12"/>
      <c r="X68" s="12"/>
      <c r="Y68" s="12"/>
      <c r="Z68" s="12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12"/>
      <c r="X69" s="12"/>
      <c r="Y69" s="12"/>
      <c r="Z69" s="12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12"/>
      <c r="X70" s="12"/>
      <c r="Y70" s="12"/>
      <c r="Z70" s="12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12"/>
      <c r="X71" s="12"/>
      <c r="Y71" s="12"/>
      <c r="Z71" s="12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12"/>
      <c r="X72" s="12"/>
      <c r="Y72" s="12"/>
      <c r="Z72" s="12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12"/>
      <c r="X73" s="12"/>
      <c r="Y73" s="12"/>
      <c r="Z73" s="12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12"/>
      <c r="X74" s="12"/>
      <c r="Y74" s="12"/>
      <c r="Z74" s="12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12"/>
      <c r="X75" s="12"/>
      <c r="Y75" s="12"/>
      <c r="Z75" s="12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12"/>
      <c r="X76" s="12"/>
      <c r="Y76" s="12"/>
      <c r="Z76" s="12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12"/>
      <c r="X77" s="12"/>
      <c r="Y77" s="12"/>
      <c r="Z77" s="12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12"/>
      <c r="X78" s="12"/>
      <c r="Y78" s="12"/>
      <c r="Z78" s="12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12"/>
      <c r="X79" s="12"/>
      <c r="Y79" s="12"/>
      <c r="Z79" s="12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12"/>
      <c r="X80" s="12"/>
      <c r="Y80" s="12"/>
      <c r="Z80" s="12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12"/>
      <c r="X81" s="12"/>
      <c r="Y81" s="12"/>
      <c r="Z81" s="12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12"/>
      <c r="X82" s="12"/>
      <c r="Y82" s="12"/>
      <c r="Z82" s="12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12"/>
      <c r="X83" s="12"/>
      <c r="Y83" s="12"/>
      <c r="Z83" s="12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12"/>
      <c r="X84" s="12"/>
      <c r="Y84" s="12"/>
      <c r="Z84" s="12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12"/>
      <c r="X85" s="12"/>
      <c r="Y85" s="12"/>
      <c r="Z85" s="12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12"/>
      <c r="X86" s="12"/>
      <c r="Y86" s="12"/>
      <c r="Z86" s="12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12"/>
      <c r="X87" s="12"/>
      <c r="Y87" s="12"/>
      <c r="Z87" s="12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12"/>
      <c r="X88" s="12"/>
      <c r="Y88" s="12"/>
      <c r="Z88" s="12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12"/>
      <c r="X89" s="12"/>
      <c r="Y89" s="12"/>
      <c r="Z89" s="12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12"/>
      <c r="X90" s="12"/>
      <c r="Y90" s="12"/>
      <c r="Z90" s="12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12"/>
      <c r="X91" s="12"/>
      <c r="Y91" s="12"/>
      <c r="Z91" s="12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12"/>
      <c r="X92" s="12"/>
      <c r="Y92" s="12"/>
      <c r="Z92" s="12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12"/>
      <c r="X93" s="12"/>
      <c r="Y93" s="12"/>
      <c r="Z93" s="12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12"/>
      <c r="X94" s="12"/>
      <c r="Y94" s="12"/>
      <c r="Z94" s="12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12"/>
      <c r="X95" s="12"/>
      <c r="Y95" s="12"/>
      <c r="Z95" s="12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12"/>
      <c r="X96" s="12"/>
      <c r="Y96" s="12"/>
      <c r="Z96" s="12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12"/>
      <c r="X97" s="12"/>
      <c r="Y97" s="12"/>
      <c r="Z97" s="12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12"/>
      <c r="X98" s="12"/>
      <c r="Y98" s="12"/>
      <c r="Z98" s="12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12"/>
      <c r="X99" s="12"/>
      <c r="Y99" s="12"/>
      <c r="Z99" s="12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12"/>
      <c r="X100" s="12"/>
      <c r="Y100" s="12"/>
      <c r="Z100" s="12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12"/>
      <c r="X101" s="12"/>
      <c r="Y101" s="12"/>
      <c r="Z101" s="12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12"/>
      <c r="X102" s="12"/>
      <c r="Y102" s="12"/>
      <c r="Z102" s="12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12"/>
      <c r="X103" s="12"/>
      <c r="Y103" s="12"/>
      <c r="Z103" s="12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12"/>
      <c r="X104" s="12"/>
      <c r="Y104" s="12"/>
      <c r="Z104" s="12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12"/>
      <c r="X105" s="12"/>
      <c r="Y105" s="12"/>
      <c r="Z105" s="12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12"/>
      <c r="X106" s="12"/>
      <c r="Y106" s="12"/>
      <c r="Z106" s="12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12"/>
      <c r="X107" s="12"/>
      <c r="Y107" s="12"/>
      <c r="Z107" s="12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12"/>
      <c r="X108" s="12"/>
      <c r="Y108" s="12"/>
      <c r="Z108" s="12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12"/>
      <c r="X109" s="12"/>
      <c r="Y109" s="12"/>
      <c r="Z109" s="12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12"/>
      <c r="X110" s="12"/>
      <c r="Y110" s="12"/>
      <c r="Z110" s="12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12"/>
      <c r="X111" s="12"/>
      <c r="Y111" s="12"/>
      <c r="Z111" s="12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12"/>
      <c r="X112" s="12"/>
      <c r="Y112" s="12"/>
      <c r="Z112" s="12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12"/>
      <c r="X113" s="12"/>
      <c r="Y113" s="12"/>
      <c r="Z113" s="12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12"/>
      <c r="X114" s="12"/>
      <c r="Y114" s="12"/>
      <c r="Z114" s="12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12"/>
      <c r="X115" s="12"/>
      <c r="Y115" s="12"/>
      <c r="Z115" s="12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12"/>
      <c r="X116" s="12"/>
      <c r="Y116" s="12"/>
      <c r="Z116" s="12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12"/>
      <c r="X117" s="12"/>
      <c r="Y117" s="12"/>
      <c r="Z117" s="12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12"/>
      <c r="X118" s="12"/>
      <c r="Y118" s="12"/>
      <c r="Z118" s="12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12"/>
      <c r="X119" s="12"/>
      <c r="Y119" s="12"/>
      <c r="Z119" s="12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12"/>
      <c r="X120" s="12"/>
      <c r="Y120" s="12"/>
      <c r="Z120" s="12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12"/>
      <c r="X121" s="12"/>
      <c r="Y121" s="12"/>
      <c r="Z121" s="12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12"/>
      <c r="X122" s="12"/>
      <c r="Y122" s="12"/>
      <c r="Z122" s="12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12"/>
      <c r="X123" s="12"/>
      <c r="Y123" s="12"/>
      <c r="Z123" s="12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12"/>
      <c r="X124" s="12"/>
      <c r="Y124" s="12"/>
      <c r="Z124" s="12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12"/>
      <c r="X125" s="12"/>
      <c r="Y125" s="12"/>
      <c r="Z125" s="12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12"/>
      <c r="X126" s="12"/>
      <c r="Y126" s="12"/>
      <c r="Z126" s="12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12"/>
      <c r="X127" s="12"/>
      <c r="Y127" s="12"/>
      <c r="Z127" s="12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12"/>
      <c r="X128" s="12"/>
      <c r="Y128" s="12"/>
      <c r="Z128" s="12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12"/>
      <c r="X129" s="12"/>
      <c r="Y129" s="12"/>
      <c r="Z129" s="12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12"/>
      <c r="X130" s="12"/>
      <c r="Y130" s="12"/>
      <c r="Z130" s="12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12"/>
      <c r="X131" s="12"/>
      <c r="Y131" s="12"/>
      <c r="Z131" s="12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12"/>
      <c r="X132" s="12"/>
      <c r="Y132" s="12"/>
      <c r="Z132" s="12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12"/>
      <c r="X133" s="12"/>
      <c r="Y133" s="12"/>
      <c r="Z133" s="12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12"/>
      <c r="X134" s="12"/>
      <c r="Y134" s="12"/>
      <c r="Z134" s="12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12"/>
      <c r="X135" s="12"/>
      <c r="Y135" s="12"/>
      <c r="Z135" s="12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12"/>
      <c r="X136" s="12"/>
      <c r="Y136" s="12"/>
      <c r="Z136" s="12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12"/>
      <c r="X137" s="12"/>
      <c r="Y137" s="12"/>
      <c r="Z137" s="12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12"/>
      <c r="X138" s="12"/>
      <c r="Y138" s="12"/>
      <c r="Z138" s="12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12"/>
      <c r="X139" s="12"/>
      <c r="Y139" s="12"/>
      <c r="Z139" s="12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12"/>
      <c r="X140" s="12"/>
      <c r="Y140" s="12"/>
      <c r="Z140" s="12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12"/>
      <c r="X141" s="12"/>
      <c r="Y141" s="12"/>
      <c r="Z141" s="12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12"/>
      <c r="X142" s="12"/>
      <c r="Y142" s="12"/>
      <c r="Z142" s="12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12"/>
      <c r="X143" s="12"/>
      <c r="Y143" s="12"/>
      <c r="Z143" s="12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12"/>
      <c r="X144" s="12"/>
      <c r="Y144" s="12"/>
      <c r="Z144" s="12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12"/>
      <c r="X145" s="12"/>
      <c r="Y145" s="12"/>
      <c r="Z145" s="12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12"/>
      <c r="X146" s="12"/>
      <c r="Y146" s="12"/>
      <c r="Z146" s="12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12"/>
      <c r="X147" s="12"/>
      <c r="Y147" s="12"/>
      <c r="Z147" s="12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12"/>
      <c r="X148" s="12"/>
      <c r="Y148" s="12"/>
      <c r="Z148" s="12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12"/>
      <c r="X149" s="12"/>
      <c r="Y149" s="12"/>
      <c r="Z149" s="12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12"/>
      <c r="X150" s="12"/>
      <c r="Y150" s="12"/>
      <c r="Z150" s="12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12"/>
      <c r="X151" s="12"/>
      <c r="Y151" s="12"/>
      <c r="Z151" s="12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12"/>
      <c r="X152" s="12"/>
      <c r="Y152" s="12"/>
      <c r="Z152" s="12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12"/>
      <c r="X153" s="12"/>
      <c r="Y153" s="12"/>
      <c r="Z153" s="12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12"/>
      <c r="X154" s="12"/>
      <c r="Y154" s="12"/>
      <c r="Z154" s="12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12"/>
      <c r="X155" s="12"/>
      <c r="Y155" s="12"/>
      <c r="Z155" s="12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12"/>
      <c r="X156" s="12"/>
      <c r="Y156" s="12"/>
      <c r="Z156" s="12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12"/>
      <c r="X157" s="12"/>
      <c r="Y157" s="12"/>
      <c r="Z157" s="12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12"/>
      <c r="X158" s="12"/>
      <c r="Y158" s="12"/>
      <c r="Z158" s="12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12"/>
      <c r="X159" s="12"/>
      <c r="Y159" s="12"/>
      <c r="Z159" s="12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12"/>
      <c r="X160" s="12"/>
      <c r="Y160" s="12"/>
      <c r="Z160" s="12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12"/>
      <c r="X161" s="12"/>
      <c r="Y161" s="12"/>
      <c r="Z161" s="12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12"/>
      <c r="X162" s="12"/>
      <c r="Y162" s="12"/>
      <c r="Z162" s="12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12"/>
      <c r="X163" s="12"/>
      <c r="Y163" s="12"/>
      <c r="Z163" s="12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12"/>
      <c r="X164" s="12"/>
      <c r="Y164" s="12"/>
      <c r="Z164" s="12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12"/>
      <c r="X165" s="12"/>
      <c r="Y165" s="12"/>
      <c r="Z165" s="12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12"/>
      <c r="X166" s="12"/>
      <c r="Y166" s="12"/>
      <c r="Z166" s="12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12"/>
      <c r="X167" s="12"/>
      <c r="Y167" s="12"/>
      <c r="Z167" s="12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12"/>
      <c r="X168" s="12"/>
      <c r="Y168" s="12"/>
      <c r="Z168" s="12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12"/>
      <c r="X169" s="12"/>
      <c r="Y169" s="12"/>
      <c r="Z169" s="12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12"/>
      <c r="X170" s="12"/>
      <c r="Y170" s="12"/>
      <c r="Z170" s="12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12"/>
      <c r="X171" s="12"/>
      <c r="Y171" s="12"/>
      <c r="Z171" s="12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12"/>
      <c r="X172" s="12"/>
      <c r="Y172" s="12"/>
      <c r="Z172" s="12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12"/>
      <c r="X173" s="12"/>
      <c r="Y173" s="12"/>
      <c r="Z173" s="12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12"/>
      <c r="X174" s="12"/>
      <c r="Y174" s="12"/>
      <c r="Z174" s="12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12"/>
      <c r="X175" s="12"/>
      <c r="Y175" s="12"/>
      <c r="Z175" s="12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12"/>
      <c r="X176" s="12"/>
      <c r="Y176" s="12"/>
      <c r="Z176" s="12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12"/>
      <c r="X177" s="12"/>
      <c r="Y177" s="12"/>
      <c r="Z177" s="12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12"/>
      <c r="X178" s="12"/>
      <c r="Y178" s="12"/>
      <c r="Z178" s="12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12"/>
      <c r="X179" s="12"/>
      <c r="Y179" s="12"/>
      <c r="Z179" s="12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12"/>
      <c r="X180" s="12"/>
      <c r="Y180" s="12"/>
      <c r="Z180" s="12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12"/>
      <c r="X181" s="12"/>
      <c r="Y181" s="12"/>
      <c r="Z181" s="12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12"/>
      <c r="X182" s="12"/>
      <c r="Y182" s="12"/>
      <c r="Z182" s="12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12"/>
      <c r="X183" s="12"/>
      <c r="Y183" s="12"/>
      <c r="Z183" s="12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12"/>
      <c r="X184" s="12"/>
      <c r="Y184" s="12"/>
      <c r="Z184" s="12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12"/>
      <c r="X185" s="12"/>
      <c r="Y185" s="12"/>
      <c r="Z185" s="12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12"/>
      <c r="X186" s="12"/>
      <c r="Y186" s="12"/>
      <c r="Z186" s="12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12"/>
      <c r="X187" s="12"/>
      <c r="Y187" s="12"/>
      <c r="Z187" s="12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12"/>
      <c r="X188" s="12"/>
      <c r="Y188" s="12"/>
      <c r="Z188" s="12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12"/>
      <c r="X189" s="12"/>
      <c r="Y189" s="12"/>
      <c r="Z189" s="12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12"/>
      <c r="X190" s="12"/>
      <c r="Y190" s="12"/>
      <c r="Z190" s="12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12"/>
      <c r="X191" s="12"/>
      <c r="Y191" s="12"/>
      <c r="Z191" s="12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12"/>
      <c r="X192" s="12"/>
      <c r="Y192" s="12"/>
      <c r="Z192" s="12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12"/>
      <c r="X193" s="12"/>
      <c r="Y193" s="12"/>
      <c r="Z193" s="12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12"/>
      <c r="X194" s="12"/>
      <c r="Y194" s="12"/>
      <c r="Z194" s="12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12"/>
      <c r="X195" s="12"/>
      <c r="Y195" s="12"/>
      <c r="Z195" s="12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12"/>
      <c r="X196" s="12"/>
      <c r="Y196" s="12"/>
      <c r="Z196" s="12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12"/>
      <c r="X197" s="12"/>
      <c r="Y197" s="12"/>
      <c r="Z197" s="12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12"/>
      <c r="X198" s="12"/>
      <c r="Y198" s="12"/>
      <c r="Z198" s="12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12"/>
      <c r="X199" s="12"/>
      <c r="Y199" s="12"/>
      <c r="Z199" s="12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12"/>
      <c r="X200" s="12"/>
      <c r="Y200" s="12"/>
      <c r="Z200" s="12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12"/>
      <c r="X201" s="12"/>
      <c r="Y201" s="12"/>
      <c r="Z201" s="12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12"/>
      <c r="X202" s="12"/>
      <c r="Y202" s="12"/>
      <c r="Z202" s="12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12"/>
      <c r="X203" s="12"/>
      <c r="Y203" s="12"/>
      <c r="Z203" s="12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12"/>
      <c r="X204" s="12"/>
      <c r="Y204" s="12"/>
      <c r="Z204" s="12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12"/>
      <c r="X205" s="12"/>
      <c r="Y205" s="12"/>
      <c r="Z205" s="12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12"/>
      <c r="X206" s="12"/>
      <c r="Y206" s="12"/>
      <c r="Z206" s="12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12"/>
      <c r="X207" s="12"/>
      <c r="Y207" s="12"/>
      <c r="Z207" s="12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12"/>
      <c r="X208" s="12"/>
      <c r="Y208" s="12"/>
      <c r="Z208" s="12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12"/>
      <c r="X209" s="12"/>
      <c r="Y209" s="12"/>
      <c r="Z209" s="12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12"/>
      <c r="X210" s="12"/>
      <c r="Y210" s="12"/>
      <c r="Z210" s="12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12"/>
      <c r="X211" s="12"/>
      <c r="Y211" s="12"/>
      <c r="Z211" s="12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12"/>
      <c r="X212" s="12"/>
      <c r="Y212" s="12"/>
      <c r="Z212" s="12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12"/>
      <c r="X213" s="12"/>
      <c r="Y213" s="12"/>
      <c r="Z213" s="12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12"/>
      <c r="X214" s="12"/>
      <c r="Y214" s="12"/>
      <c r="Z214" s="12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12"/>
      <c r="X215" s="12"/>
      <c r="Y215" s="12"/>
      <c r="Z215" s="12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12"/>
      <c r="X216" s="12"/>
      <c r="Y216" s="12"/>
      <c r="Z216" s="12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12"/>
      <c r="X217" s="12"/>
      <c r="Y217" s="12"/>
      <c r="Z217" s="12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12"/>
      <c r="X218" s="12"/>
      <c r="Y218" s="12"/>
      <c r="Z218" s="12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12"/>
      <c r="X219" s="12"/>
      <c r="Y219" s="12"/>
      <c r="Z219" s="12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12"/>
      <c r="X220" s="12"/>
      <c r="Y220" s="12"/>
      <c r="Z220" s="12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12"/>
      <c r="X221" s="12"/>
      <c r="Y221" s="12"/>
      <c r="Z221" s="12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12"/>
      <c r="X222" s="12"/>
      <c r="Y222" s="12"/>
      <c r="Z222" s="12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12"/>
      <c r="X223" s="12"/>
      <c r="Y223" s="12"/>
      <c r="Z223" s="12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12"/>
      <c r="X224" s="12"/>
      <c r="Y224" s="12"/>
      <c r="Z224" s="12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12"/>
      <c r="X225" s="12"/>
      <c r="Y225" s="12"/>
      <c r="Z225" s="12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12"/>
      <c r="X226" s="12"/>
      <c r="Y226" s="12"/>
      <c r="Z226" s="12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12"/>
      <c r="X227" s="12"/>
      <c r="Y227" s="12"/>
      <c r="Z227" s="12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12"/>
      <c r="X228" s="12"/>
      <c r="Y228" s="12"/>
      <c r="Z228" s="12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12"/>
      <c r="X229" s="12"/>
      <c r="Y229" s="12"/>
      <c r="Z229" s="12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12"/>
      <c r="X230" s="12"/>
      <c r="Y230" s="12"/>
      <c r="Z230" s="12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12"/>
      <c r="X231" s="12"/>
      <c r="Y231" s="12"/>
      <c r="Z231" s="12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12"/>
      <c r="X232" s="12"/>
      <c r="Y232" s="12"/>
      <c r="Z232" s="12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12"/>
      <c r="X233" s="12"/>
      <c r="Y233" s="12"/>
      <c r="Z233" s="12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12"/>
      <c r="X234" s="12"/>
      <c r="Y234" s="12"/>
      <c r="Z234" s="12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12"/>
      <c r="X235" s="12"/>
      <c r="Y235" s="12"/>
      <c r="Z235" s="12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12"/>
      <c r="X236" s="12"/>
      <c r="Y236" s="12"/>
      <c r="Z236" s="12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12"/>
      <c r="X237" s="12"/>
      <c r="Y237" s="12"/>
      <c r="Z237" s="12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12"/>
      <c r="X238" s="12"/>
      <c r="Y238" s="12"/>
      <c r="Z238" s="12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12"/>
      <c r="X239" s="12"/>
      <c r="Y239" s="12"/>
      <c r="Z239" s="12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12"/>
      <c r="X240" s="12"/>
      <c r="Y240" s="12"/>
      <c r="Z240" s="12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12"/>
      <c r="X241" s="12"/>
      <c r="Y241" s="12"/>
      <c r="Z241" s="12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12"/>
      <c r="X242" s="12"/>
      <c r="Y242" s="12"/>
      <c r="Z242" s="12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12"/>
      <c r="X243" s="12"/>
      <c r="Y243" s="12"/>
      <c r="Z243" s="12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12"/>
      <c r="X244" s="12"/>
      <c r="Y244" s="12"/>
      <c r="Z244" s="12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12"/>
      <c r="X245" s="12"/>
      <c r="Y245" s="12"/>
      <c r="Z245" s="12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12"/>
      <c r="X246" s="12"/>
      <c r="Y246" s="12"/>
      <c r="Z246" s="12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12"/>
      <c r="X247" s="12"/>
      <c r="Y247" s="12"/>
      <c r="Z247" s="12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</sheetData>
  <mergeCells count="6">
    <mergeCell ref="A1:E1"/>
    <mergeCell ref="A2:E2"/>
    <mergeCell ref="A3:E3"/>
    <mergeCell ref="A4:E4"/>
    <mergeCell ref="A29:B29"/>
    <mergeCell ref="A48:B4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0.13"/>
    <col customWidth="1" min="3" max="3" width="12.38"/>
    <col customWidth="1" min="4" max="4" width="45.63"/>
    <col customWidth="1" min="5" max="5" width="9.13"/>
    <col customWidth="1" min="6" max="6" width="10.0"/>
    <col customWidth="1" min="7" max="7" width="12.0"/>
    <col customWidth="1" min="8" max="8" width="13.63"/>
    <col customWidth="1" min="9" max="9" width="18.75"/>
    <col customWidth="1" min="10" max="18" width="7.0"/>
    <col customWidth="1" min="19" max="26" width="15.13"/>
  </cols>
  <sheetData>
    <row r="1" ht="29.25" customHeight="1">
      <c r="A1" s="4" t="s">
        <v>1</v>
      </c>
      <c r="B1" s="8"/>
      <c r="C1" s="8"/>
      <c r="D1" s="8"/>
      <c r="E1" s="8"/>
      <c r="F1" s="8"/>
      <c r="G1" s="8"/>
      <c r="H1" s="10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6" t="s">
        <v>2</v>
      </c>
      <c r="H2" s="1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21" t="s">
        <v>3</v>
      </c>
      <c r="H3" s="1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0" customHeight="1">
      <c r="A4" s="24" t="s">
        <v>4</v>
      </c>
      <c r="B4" s="27"/>
      <c r="C4" s="27"/>
      <c r="D4" s="27"/>
      <c r="E4" s="27"/>
      <c r="F4" s="27"/>
      <c r="G4" s="27"/>
      <c r="H4" s="2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6.0" customHeight="1">
      <c r="A5" s="32" t="s">
        <v>8</v>
      </c>
      <c r="B5" s="36"/>
      <c r="C5" s="36"/>
      <c r="D5" s="36"/>
      <c r="E5" s="36"/>
      <c r="F5" s="36"/>
      <c r="G5" s="36"/>
      <c r="H5" s="39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44"/>
      <c r="B6" s="46"/>
      <c r="C6" s="44"/>
      <c r="D6" s="44"/>
      <c r="E6" s="44"/>
      <c r="F6" s="51">
        <f t="shared" ref="F6:G6" si="1">SUM(F9:F519)</f>
        <v>2709.04</v>
      </c>
      <c r="G6" s="57">
        <f t="shared" si="1"/>
        <v>2851.07</v>
      </c>
      <c r="H6" s="60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63" t="s">
        <v>16</v>
      </c>
      <c r="B7" s="66" t="s">
        <v>18</v>
      </c>
      <c r="C7" s="63" t="s">
        <v>20</v>
      </c>
      <c r="D7" s="70" t="s">
        <v>21</v>
      </c>
      <c r="E7" s="63" t="s">
        <v>22</v>
      </c>
      <c r="F7" s="71" t="s">
        <v>23</v>
      </c>
      <c r="G7" s="73" t="s">
        <v>24</v>
      </c>
      <c r="H7" s="63" t="s">
        <v>28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76"/>
      <c r="B8" s="76"/>
      <c r="C8" s="76"/>
      <c r="D8" s="76"/>
      <c r="E8" s="76"/>
      <c r="F8" s="76"/>
      <c r="G8" s="76"/>
      <c r="H8" s="7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7.25" customHeight="1">
      <c r="A9" s="77"/>
      <c r="B9" s="79"/>
      <c r="C9" s="80"/>
      <c r="D9" s="81" t="s">
        <v>31</v>
      </c>
      <c r="E9" s="82"/>
      <c r="F9" s="83"/>
      <c r="G9" s="82"/>
      <c r="H9" s="84"/>
      <c r="I9" s="8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7.25" customHeight="1">
      <c r="A10" s="89"/>
      <c r="B10" s="91"/>
      <c r="C10" s="94"/>
      <c r="D10" s="95"/>
      <c r="E10" s="97"/>
      <c r="F10" s="98"/>
      <c r="G10" s="99"/>
      <c r="H10" s="101">
        <f t="shared" ref="H10:H62" si="2">H9 + IF(G10&lt;&gt;"", G10, 0) - IF(F10&lt;&gt;"", F10, 0)</f>
        <v>1101.01</v>
      </c>
      <c r="I10" s="8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7.25" customHeight="1">
      <c r="A11" s="89"/>
      <c r="B11" s="91"/>
      <c r="C11" s="94"/>
      <c r="D11" s="95"/>
      <c r="E11" s="97"/>
      <c r="F11" s="98"/>
      <c r="G11" s="99"/>
      <c r="H11" s="101">
        <f t="shared" si="2"/>
        <v>1055.26</v>
      </c>
      <c r="I11" s="8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7.25" customHeight="1">
      <c r="A12" s="89"/>
      <c r="B12" s="91"/>
      <c r="C12" s="94"/>
      <c r="D12" s="95"/>
      <c r="E12" s="97"/>
      <c r="F12" s="98"/>
      <c r="G12" s="99"/>
      <c r="H12" s="101">
        <f t="shared" si="2"/>
        <v>1023.26</v>
      </c>
      <c r="I12" s="8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7.25" customHeight="1">
      <c r="A13" s="89"/>
      <c r="B13" s="91"/>
      <c r="C13" s="94"/>
      <c r="D13" s="95"/>
      <c r="E13" s="97"/>
      <c r="F13" s="98"/>
      <c r="G13" s="103"/>
      <c r="H13" s="101">
        <f t="shared" si="2"/>
        <v>763.26</v>
      </c>
      <c r="I13" s="8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7.25" customHeight="1">
      <c r="A14" s="89"/>
      <c r="B14" s="91"/>
      <c r="C14" s="95"/>
      <c r="D14" s="95"/>
      <c r="E14" s="97"/>
      <c r="F14" s="98"/>
      <c r="G14" s="99"/>
      <c r="H14" s="101">
        <f t="shared" si="2"/>
        <v>873.26</v>
      </c>
      <c r="I14" s="86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7.25" customHeight="1">
      <c r="A15" s="89"/>
      <c r="B15" s="91"/>
      <c r="C15" s="95"/>
      <c r="D15" s="95"/>
      <c r="E15" s="97"/>
      <c r="F15" s="98"/>
      <c r="G15" s="99"/>
      <c r="H15" s="101">
        <f t="shared" si="2"/>
        <v>1073.26</v>
      </c>
      <c r="I15" s="86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7.25" customHeight="1">
      <c r="A16" s="89"/>
      <c r="B16" s="91"/>
      <c r="C16" s="95"/>
      <c r="D16" s="95"/>
      <c r="E16" s="97"/>
      <c r="F16" s="98"/>
      <c r="G16" s="99"/>
      <c r="H16" s="101">
        <f t="shared" si="2"/>
        <v>1273.26</v>
      </c>
      <c r="I16" s="8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7.25" customHeight="1">
      <c r="A17" s="89"/>
      <c r="B17" s="91"/>
      <c r="C17" s="95"/>
      <c r="D17" s="95"/>
      <c r="E17" s="97"/>
      <c r="F17" s="98"/>
      <c r="G17" s="99"/>
      <c r="H17" s="101">
        <f t="shared" si="2"/>
        <v>1473.26</v>
      </c>
      <c r="I17" s="8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7.25" customHeight="1">
      <c r="A18" s="89"/>
      <c r="B18" s="91"/>
      <c r="C18" s="95"/>
      <c r="D18" s="95"/>
      <c r="E18" s="97"/>
      <c r="F18" s="98"/>
      <c r="G18" s="99"/>
      <c r="H18" s="101">
        <f t="shared" si="2"/>
        <v>1623.26</v>
      </c>
      <c r="I18" s="8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7.25" customHeight="1">
      <c r="A19" s="89"/>
      <c r="B19" s="91"/>
      <c r="C19" s="95"/>
      <c r="D19" s="95"/>
      <c r="E19" s="97"/>
      <c r="F19" s="98"/>
      <c r="G19" s="99"/>
      <c r="H19" s="101">
        <f t="shared" si="2"/>
        <v>1773.26</v>
      </c>
      <c r="I19" s="8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7.25" customHeight="1">
      <c r="A20" s="89"/>
      <c r="B20" s="91"/>
      <c r="C20" s="95"/>
      <c r="D20" s="95"/>
      <c r="E20" s="97"/>
      <c r="F20" s="98"/>
      <c r="G20" s="99"/>
      <c r="H20" s="101">
        <f t="shared" si="2"/>
        <v>1923.26</v>
      </c>
      <c r="I20" s="8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7.25" customHeight="1">
      <c r="A21" s="89"/>
      <c r="B21" s="91"/>
      <c r="C21" s="95"/>
      <c r="D21" s="95"/>
      <c r="E21" s="97"/>
      <c r="F21" s="98"/>
      <c r="G21" s="99"/>
      <c r="H21" s="101">
        <f t="shared" si="2"/>
        <v>1803.26</v>
      </c>
      <c r="I21" s="8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7.25" customHeight="1">
      <c r="A22" s="89"/>
      <c r="B22" s="91"/>
      <c r="C22" s="95"/>
      <c r="D22" s="95"/>
      <c r="E22" s="97"/>
      <c r="F22" s="98"/>
      <c r="G22" s="99"/>
      <c r="H22" s="101">
        <f t="shared" si="2"/>
        <v>1203.26</v>
      </c>
      <c r="I22" s="8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7.25" customHeight="1">
      <c r="A23" s="89"/>
      <c r="B23" s="91"/>
      <c r="C23" s="95"/>
      <c r="D23" s="95"/>
      <c r="E23" s="97"/>
      <c r="F23" s="98"/>
      <c r="G23" s="99"/>
      <c r="H23" s="101">
        <f t="shared" si="2"/>
        <v>1154.69</v>
      </c>
      <c r="I23" s="8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7.25" customHeight="1">
      <c r="A24" s="89"/>
      <c r="B24" s="91"/>
      <c r="C24" s="95"/>
      <c r="D24" s="95"/>
      <c r="E24" s="97"/>
      <c r="F24" s="108"/>
      <c r="G24" s="99"/>
      <c r="H24" s="101">
        <f t="shared" si="2"/>
        <v>1279.69</v>
      </c>
      <c r="I24" s="8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7.25" customHeight="1">
      <c r="A25" s="89"/>
      <c r="B25" s="91"/>
      <c r="C25" s="95"/>
      <c r="D25" s="95"/>
      <c r="E25" s="97"/>
      <c r="F25" s="98"/>
      <c r="G25" s="99"/>
      <c r="H25" s="101">
        <f t="shared" si="2"/>
        <v>1064.08</v>
      </c>
      <c r="I25" s="8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7.25" customHeight="1">
      <c r="A26" s="89"/>
      <c r="B26" s="91"/>
      <c r="C26" s="95"/>
      <c r="D26" s="95"/>
      <c r="E26" s="97"/>
      <c r="F26" s="98"/>
      <c r="G26" s="99"/>
      <c r="H26" s="101">
        <f t="shared" si="2"/>
        <v>1019.08</v>
      </c>
      <c r="I26" s="8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7.25" customHeight="1">
      <c r="A27" s="89"/>
      <c r="B27" s="91"/>
      <c r="C27" s="95"/>
      <c r="D27" s="95"/>
      <c r="E27" s="97"/>
      <c r="F27" s="98"/>
      <c r="G27" s="99"/>
      <c r="H27" s="101">
        <f t="shared" si="2"/>
        <v>1007.33</v>
      </c>
      <c r="I27" s="8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7.25" customHeight="1">
      <c r="A28" s="89"/>
      <c r="B28" s="91"/>
      <c r="C28" s="95"/>
      <c r="D28" s="95"/>
      <c r="E28" s="97"/>
      <c r="F28" s="108"/>
      <c r="G28" s="99"/>
      <c r="H28" s="101">
        <f t="shared" si="2"/>
        <v>1071.33</v>
      </c>
      <c r="I28" s="8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7.25" customHeight="1">
      <c r="A29" s="89"/>
      <c r="B29" s="91"/>
      <c r="C29" s="95"/>
      <c r="D29" s="95"/>
      <c r="E29" s="97"/>
      <c r="F29" s="108"/>
      <c r="G29" s="99"/>
      <c r="H29" s="101">
        <f t="shared" si="2"/>
        <v>1271.33</v>
      </c>
      <c r="I29" s="8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7.25" customHeight="1">
      <c r="A30" s="89"/>
      <c r="B30" s="91"/>
      <c r="C30" s="95"/>
      <c r="D30" s="95"/>
      <c r="E30" s="97"/>
      <c r="F30" s="108"/>
      <c r="G30" s="99"/>
      <c r="H30" s="101">
        <f t="shared" si="2"/>
        <v>1301.4</v>
      </c>
      <c r="I30" s="8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7.25" customHeight="1">
      <c r="A31" s="89"/>
      <c r="B31" s="91"/>
      <c r="C31" s="95"/>
      <c r="D31" s="95"/>
      <c r="E31" s="97"/>
      <c r="F31" s="98"/>
      <c r="G31" s="103"/>
      <c r="H31" s="101">
        <f t="shared" si="2"/>
        <v>911.4</v>
      </c>
      <c r="I31" s="8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7.25" customHeight="1">
      <c r="A32" s="89"/>
      <c r="B32" s="91"/>
      <c r="C32" s="95"/>
      <c r="D32" s="95"/>
      <c r="E32" s="97"/>
      <c r="F32" s="108"/>
      <c r="G32" s="99"/>
      <c r="H32" s="101">
        <f t="shared" si="2"/>
        <v>1111.4</v>
      </c>
      <c r="I32" s="8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7.25" customHeight="1">
      <c r="A33" s="89"/>
      <c r="B33" s="91"/>
      <c r="C33" s="95"/>
      <c r="D33" s="95"/>
      <c r="E33" s="97"/>
      <c r="F33" s="108"/>
      <c r="G33" s="99"/>
      <c r="H33" s="101">
        <f t="shared" si="2"/>
        <v>1311.4</v>
      </c>
      <c r="I33" s="8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7.25" customHeight="1">
      <c r="A34" s="89"/>
      <c r="B34" s="91"/>
      <c r="C34" s="95"/>
      <c r="D34" s="95"/>
      <c r="E34" s="97"/>
      <c r="F34" s="98"/>
      <c r="G34" s="99"/>
      <c r="H34" s="101">
        <f t="shared" si="2"/>
        <v>1290.76</v>
      </c>
      <c r="I34" s="8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7.25" customHeight="1">
      <c r="A35" s="89"/>
      <c r="B35" s="91"/>
      <c r="C35" s="95"/>
      <c r="D35" s="95"/>
      <c r="E35" s="97"/>
      <c r="F35" s="98"/>
      <c r="G35" s="99"/>
      <c r="H35" s="101">
        <f t="shared" si="2"/>
        <v>1204.9</v>
      </c>
      <c r="I35" s="8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7.25" customHeight="1">
      <c r="A36" s="89"/>
      <c r="B36" s="91"/>
      <c r="C36" s="95"/>
      <c r="D36" s="95"/>
      <c r="E36" s="97"/>
      <c r="F36" s="108"/>
      <c r="G36" s="99"/>
      <c r="H36" s="101">
        <f t="shared" si="2"/>
        <v>1404.9</v>
      </c>
      <c r="I36" s="8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7.25" customHeight="1">
      <c r="A37" s="89"/>
      <c r="B37" s="91"/>
      <c r="C37" s="95"/>
      <c r="D37" s="95"/>
      <c r="E37" s="97"/>
      <c r="F37" s="98"/>
      <c r="G37" s="103"/>
      <c r="H37" s="101">
        <f t="shared" si="2"/>
        <v>1161.49</v>
      </c>
      <c r="I37" s="8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7.25" customHeight="1">
      <c r="A38" s="116"/>
      <c r="B38" s="91"/>
      <c r="C38" s="94"/>
      <c r="D38" s="94"/>
      <c r="E38" s="97"/>
      <c r="F38" s="98"/>
      <c r="G38" s="99"/>
      <c r="H38" s="101">
        <f t="shared" si="2"/>
        <v>1633.49</v>
      </c>
      <c r="I38" s="8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7.25" customHeight="1">
      <c r="A39" s="116"/>
      <c r="B39" s="91"/>
      <c r="C39" s="94"/>
      <c r="D39" s="94"/>
      <c r="E39" s="97"/>
      <c r="F39" s="98"/>
      <c r="G39" s="99"/>
      <c r="H39" s="101">
        <f t="shared" si="2"/>
        <v>1562.54</v>
      </c>
      <c r="I39" s="8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7.25" customHeight="1">
      <c r="A40" s="116"/>
      <c r="B40" s="91"/>
      <c r="C40" s="94"/>
      <c r="D40" s="94"/>
      <c r="E40" s="97"/>
      <c r="F40" s="117"/>
      <c r="G40" s="99"/>
      <c r="H40" s="101">
        <f t="shared" si="2"/>
        <v>1412.54</v>
      </c>
      <c r="I40" s="8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7.25" customHeight="1">
      <c r="A41" s="116"/>
      <c r="B41" s="91"/>
      <c r="C41" s="94"/>
      <c r="D41" s="94"/>
      <c r="E41" s="97"/>
      <c r="F41" s="98"/>
      <c r="G41" s="99"/>
      <c r="H41" s="101">
        <f t="shared" si="2"/>
        <v>1335.54</v>
      </c>
      <c r="I41" s="8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7.25" customHeight="1">
      <c r="A42" s="116"/>
      <c r="B42" s="91"/>
      <c r="C42" s="94"/>
      <c r="D42" s="95"/>
      <c r="E42" s="97"/>
      <c r="F42" s="117"/>
      <c r="G42" s="103"/>
      <c r="H42" s="101">
        <f t="shared" si="2"/>
        <v>1283.04</v>
      </c>
      <c r="I42" s="8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7.25" customHeight="1">
      <c r="A43" s="116"/>
      <c r="B43" s="91"/>
      <c r="C43" s="94"/>
      <c r="D43" s="95"/>
      <c r="E43" s="97"/>
      <c r="F43" s="117"/>
      <c r="G43" s="103"/>
      <c r="H43" s="101">
        <f t="shared" si="2"/>
        <v>1043.04</v>
      </c>
      <c r="I43" s="8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7.25" customHeight="1">
      <c r="A44" s="116"/>
      <c r="B44" s="118"/>
      <c r="C44" s="95"/>
      <c r="D44" s="95"/>
      <c r="E44" s="97"/>
      <c r="F44" s="98"/>
      <c r="G44" s="103"/>
      <c r="H44" s="101">
        <f t="shared" si="2"/>
        <v>1043.04</v>
      </c>
      <c r="I44" s="8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7.25" customHeight="1">
      <c r="A45" s="116"/>
      <c r="B45" s="118"/>
      <c r="C45" s="95"/>
      <c r="D45" s="95"/>
      <c r="E45" s="97"/>
      <c r="F45" s="117"/>
      <c r="G45" s="103"/>
      <c r="H45" s="101">
        <f t="shared" si="2"/>
        <v>1043.04</v>
      </c>
      <c r="I45" s="8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116"/>
      <c r="B46" s="118"/>
      <c r="C46" s="95"/>
      <c r="D46" s="95"/>
      <c r="E46" s="97"/>
      <c r="F46" s="117"/>
      <c r="G46" s="103"/>
      <c r="H46" s="101">
        <f t="shared" si="2"/>
        <v>1043.04</v>
      </c>
      <c r="I46" s="8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7.25" customHeight="1">
      <c r="A47" s="89"/>
      <c r="B47" s="118"/>
      <c r="C47" s="95"/>
      <c r="D47" s="95"/>
      <c r="E47" s="97"/>
      <c r="F47" s="117"/>
      <c r="G47" s="103"/>
      <c r="H47" s="101">
        <f t="shared" si="2"/>
        <v>1043.04</v>
      </c>
      <c r="I47" s="8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7.25" customHeight="1">
      <c r="A48" s="116"/>
      <c r="B48" s="118"/>
      <c r="C48" s="95"/>
      <c r="D48" s="95"/>
      <c r="E48" s="97"/>
      <c r="F48" s="98"/>
      <c r="G48" s="99"/>
      <c r="H48" s="101">
        <f t="shared" si="2"/>
        <v>1043.04</v>
      </c>
      <c r="I48" s="86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7.25" customHeight="1">
      <c r="A49" s="116"/>
      <c r="B49" s="118"/>
      <c r="C49" s="95"/>
      <c r="D49" s="95"/>
      <c r="E49" s="97"/>
      <c r="F49" s="98"/>
      <c r="G49" s="99"/>
      <c r="H49" s="101">
        <f t="shared" si="2"/>
        <v>1043.04</v>
      </c>
      <c r="I49" s="86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7.25" customHeight="1">
      <c r="A50" s="118"/>
      <c r="B50" s="118"/>
      <c r="C50" s="125"/>
      <c r="D50" s="125"/>
      <c r="E50" s="126"/>
      <c r="F50" s="98"/>
      <c r="G50" s="103"/>
      <c r="H50" s="101">
        <f t="shared" si="2"/>
        <v>1043.04</v>
      </c>
      <c r="I50" s="8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7.25" customHeight="1">
      <c r="A51" s="118"/>
      <c r="B51" s="118"/>
      <c r="C51" s="125"/>
      <c r="D51" s="125"/>
      <c r="E51" s="126"/>
      <c r="F51" s="98"/>
      <c r="G51" s="103"/>
      <c r="H51" s="101">
        <f t="shared" si="2"/>
        <v>1043.04</v>
      </c>
      <c r="I51" s="8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7.25" customHeight="1">
      <c r="A52" s="118"/>
      <c r="B52" s="118"/>
      <c r="C52" s="125"/>
      <c r="D52" s="125"/>
      <c r="E52" s="126"/>
      <c r="F52" s="98"/>
      <c r="G52" s="103"/>
      <c r="H52" s="101">
        <f t="shared" si="2"/>
        <v>1043.04</v>
      </c>
      <c r="I52" s="86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7.25" customHeight="1">
      <c r="A53" s="118"/>
      <c r="B53" s="118"/>
      <c r="C53" s="125"/>
      <c r="D53" s="125"/>
      <c r="E53" s="126"/>
      <c r="F53" s="98"/>
      <c r="G53" s="103"/>
      <c r="H53" s="101">
        <f t="shared" si="2"/>
        <v>1043.04</v>
      </c>
      <c r="I53" s="8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7.25" customHeight="1">
      <c r="A54" s="118"/>
      <c r="B54" s="118"/>
      <c r="C54" s="125"/>
      <c r="D54" s="125"/>
      <c r="E54" s="126"/>
      <c r="F54" s="108"/>
      <c r="G54" s="103"/>
      <c r="H54" s="101">
        <f t="shared" si="2"/>
        <v>1043.04</v>
      </c>
      <c r="I54" s="86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7.25" customHeight="1">
      <c r="A55" s="118"/>
      <c r="B55" s="118"/>
      <c r="C55" s="125"/>
      <c r="D55" s="125"/>
      <c r="E55" s="126"/>
      <c r="F55" s="108"/>
      <c r="G55" s="103"/>
      <c r="H55" s="101">
        <f t="shared" si="2"/>
        <v>1043.04</v>
      </c>
      <c r="I55" s="8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7.25" customHeight="1">
      <c r="A56" s="118"/>
      <c r="B56" s="118"/>
      <c r="C56" s="125"/>
      <c r="D56" s="125"/>
      <c r="E56" s="126"/>
      <c r="F56" s="108"/>
      <c r="G56" s="103"/>
      <c r="H56" s="101">
        <f t="shared" si="2"/>
        <v>1043.04</v>
      </c>
      <c r="I56" s="8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7.25" customHeight="1">
      <c r="A57" s="118"/>
      <c r="B57" s="118"/>
      <c r="C57" s="125"/>
      <c r="D57" s="125"/>
      <c r="E57" s="126"/>
      <c r="F57" s="108"/>
      <c r="G57" s="103"/>
      <c r="H57" s="101">
        <f t="shared" si="2"/>
        <v>1043.04</v>
      </c>
      <c r="I57" s="8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7.25" customHeight="1">
      <c r="A58" s="118"/>
      <c r="B58" s="118"/>
      <c r="C58" s="125"/>
      <c r="D58" s="125"/>
      <c r="E58" s="126"/>
      <c r="F58" s="108"/>
      <c r="G58" s="103"/>
      <c r="H58" s="101">
        <f t="shared" si="2"/>
        <v>1043.04</v>
      </c>
      <c r="I58" s="8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7.25" customHeight="1">
      <c r="A59" s="79"/>
      <c r="B59" s="118"/>
      <c r="C59" s="125"/>
      <c r="D59" s="125"/>
      <c r="E59" s="126"/>
      <c r="F59" s="108"/>
      <c r="G59" s="103"/>
      <c r="H59" s="101">
        <f t="shared" si="2"/>
        <v>1043.04</v>
      </c>
      <c r="I59" s="8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7.25" customHeight="1">
      <c r="A60" s="118"/>
      <c r="B60" s="118"/>
      <c r="C60" s="125"/>
      <c r="D60" s="125"/>
      <c r="E60" s="126"/>
      <c r="F60" s="108"/>
      <c r="G60" s="103"/>
      <c r="H60" s="101">
        <f t="shared" si="2"/>
        <v>1043.04</v>
      </c>
      <c r="I60" s="86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7.25" customHeight="1">
      <c r="A61" s="118"/>
      <c r="B61" s="118"/>
      <c r="C61" s="125"/>
      <c r="D61" s="125"/>
      <c r="E61" s="126"/>
      <c r="F61" s="108"/>
      <c r="G61" s="103"/>
      <c r="H61" s="101">
        <f t="shared" si="2"/>
        <v>1043.04</v>
      </c>
      <c r="I61" s="86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7.25" customHeight="1">
      <c r="A62" s="118"/>
      <c r="B62" s="118"/>
      <c r="C62" s="125"/>
      <c r="D62" s="125"/>
      <c r="E62" s="126"/>
      <c r="F62" s="108"/>
      <c r="G62" s="103"/>
      <c r="H62" s="101">
        <f t="shared" si="2"/>
        <v>1043.04</v>
      </c>
      <c r="I62" s="86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7.25" customHeight="1">
      <c r="A63" s="118"/>
      <c r="B63" s="118"/>
      <c r="C63" s="125"/>
      <c r="D63" s="125"/>
      <c r="E63" s="126"/>
      <c r="F63" s="108"/>
      <c r="G63" s="103"/>
      <c r="H63" s="127">
        <f t="shared" ref="H63:H325" si="3">sum(H62,G63-F63)</f>
        <v>1043.04</v>
      </c>
      <c r="I63" s="8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7.25" customHeight="1">
      <c r="A64" s="118"/>
      <c r="B64" s="118"/>
      <c r="C64" s="125"/>
      <c r="D64" s="125"/>
      <c r="E64" s="126"/>
      <c r="F64" s="108"/>
      <c r="G64" s="103"/>
      <c r="H64" s="127">
        <f t="shared" si="3"/>
        <v>1043.04</v>
      </c>
      <c r="I64" s="8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7.25" customHeight="1">
      <c r="A65" s="118"/>
      <c r="B65" s="118"/>
      <c r="C65" s="125"/>
      <c r="D65" s="125"/>
      <c r="E65" s="126"/>
      <c r="F65" s="108"/>
      <c r="G65" s="103"/>
      <c r="H65" s="127">
        <f t="shared" si="3"/>
        <v>1043.04</v>
      </c>
      <c r="I65" s="86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7.25" customHeight="1">
      <c r="A66" s="118"/>
      <c r="B66" s="118"/>
      <c r="C66" s="125"/>
      <c r="D66" s="125"/>
      <c r="E66" s="126"/>
      <c r="F66" s="108"/>
      <c r="G66" s="103"/>
      <c r="H66" s="127">
        <f t="shared" si="3"/>
        <v>1043.04</v>
      </c>
      <c r="I66" s="86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7.25" customHeight="1">
      <c r="A67" s="118"/>
      <c r="B67" s="118"/>
      <c r="C67" s="125"/>
      <c r="D67" s="125"/>
      <c r="E67" s="126"/>
      <c r="F67" s="108"/>
      <c r="G67" s="103"/>
      <c r="H67" s="127">
        <f t="shared" si="3"/>
        <v>1043.04</v>
      </c>
      <c r="I67" s="86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7.25" customHeight="1">
      <c r="A68" s="128"/>
      <c r="B68" s="129"/>
      <c r="C68" s="125"/>
      <c r="D68" s="125"/>
      <c r="E68" s="126"/>
      <c r="F68" s="108"/>
      <c r="G68" s="103"/>
      <c r="H68" s="127">
        <f t="shared" si="3"/>
        <v>1043.04</v>
      </c>
      <c r="I68" s="8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7.25" customHeight="1">
      <c r="A69" s="126"/>
      <c r="B69" s="129"/>
      <c r="C69" s="125"/>
      <c r="D69" s="125"/>
      <c r="E69" s="126"/>
      <c r="F69" s="108"/>
      <c r="G69" s="103"/>
      <c r="H69" s="127">
        <f t="shared" si="3"/>
        <v>1043.04</v>
      </c>
      <c r="I69" s="8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7.25" customHeight="1">
      <c r="A70" s="126"/>
      <c r="B70" s="129"/>
      <c r="C70" s="125"/>
      <c r="D70" s="125"/>
      <c r="E70" s="126"/>
      <c r="F70" s="108"/>
      <c r="G70" s="103"/>
      <c r="H70" s="127">
        <f t="shared" si="3"/>
        <v>1043.04</v>
      </c>
      <c r="I70" s="8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7.25" customHeight="1">
      <c r="A71" s="129"/>
      <c r="B71" s="129"/>
      <c r="C71" s="125"/>
      <c r="D71" s="125"/>
      <c r="E71" s="126"/>
      <c r="F71" s="108"/>
      <c r="G71" s="103"/>
      <c r="H71" s="127">
        <f t="shared" si="3"/>
        <v>1043.04</v>
      </c>
      <c r="I71" s="86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7.25" customHeight="1">
      <c r="A72" s="129"/>
      <c r="B72" s="129"/>
      <c r="C72" s="125"/>
      <c r="D72" s="125"/>
      <c r="E72" s="126"/>
      <c r="F72" s="108"/>
      <c r="G72" s="103"/>
      <c r="H72" s="127">
        <f t="shared" si="3"/>
        <v>1043.04</v>
      </c>
      <c r="I72" s="86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7.25" customHeight="1">
      <c r="A73" s="129"/>
      <c r="B73" s="129"/>
      <c r="C73" s="125"/>
      <c r="D73" s="125"/>
      <c r="E73" s="126"/>
      <c r="F73" s="108"/>
      <c r="G73" s="103"/>
      <c r="H73" s="127">
        <f t="shared" si="3"/>
        <v>1043.04</v>
      </c>
      <c r="I73" s="86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7.25" customHeight="1">
      <c r="A74" s="130"/>
      <c r="B74" s="129"/>
      <c r="C74" s="125"/>
      <c r="D74" s="125"/>
      <c r="E74" s="126"/>
      <c r="F74" s="108"/>
      <c r="G74" s="103"/>
      <c r="H74" s="127">
        <f t="shared" si="3"/>
        <v>1043.04</v>
      </c>
      <c r="I74" s="8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7.25" customHeight="1">
      <c r="A75" s="118"/>
      <c r="B75" s="118"/>
      <c r="C75" s="125"/>
      <c r="D75" s="125"/>
      <c r="E75" s="126"/>
      <c r="F75" s="108"/>
      <c r="G75" s="103"/>
      <c r="H75" s="127">
        <f t="shared" si="3"/>
        <v>1043.04</v>
      </c>
      <c r="I75" s="8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7.25" customHeight="1">
      <c r="A76" s="118"/>
      <c r="B76" s="118"/>
      <c r="C76" s="125"/>
      <c r="D76" s="125"/>
      <c r="E76" s="126"/>
      <c r="F76" s="108"/>
      <c r="G76" s="103"/>
      <c r="H76" s="127">
        <f t="shared" si="3"/>
        <v>1043.04</v>
      </c>
      <c r="I76" s="86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7.25" customHeight="1">
      <c r="A77" s="129"/>
      <c r="B77" s="129"/>
      <c r="C77" s="125"/>
      <c r="D77" s="125"/>
      <c r="E77" s="126"/>
      <c r="F77" s="108"/>
      <c r="G77" s="103"/>
      <c r="H77" s="127">
        <f t="shared" si="3"/>
        <v>1043.04</v>
      </c>
      <c r="I77" s="86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7.25" customHeight="1">
      <c r="A78" s="118"/>
      <c r="B78" s="118"/>
      <c r="C78" s="125"/>
      <c r="D78" s="125"/>
      <c r="E78" s="126"/>
      <c r="F78" s="108"/>
      <c r="G78" s="103"/>
      <c r="H78" s="127">
        <f t="shared" si="3"/>
        <v>1043.04</v>
      </c>
      <c r="I78" s="8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7.25" customHeight="1">
      <c r="A79" s="118"/>
      <c r="B79" s="118"/>
      <c r="C79" s="125"/>
      <c r="D79" s="125"/>
      <c r="E79" s="126"/>
      <c r="F79" s="108"/>
      <c r="G79" s="103"/>
      <c r="H79" s="127">
        <f t="shared" si="3"/>
        <v>1043.04</v>
      </c>
      <c r="I79" s="8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7.25" customHeight="1">
      <c r="A80" s="129"/>
      <c r="B80" s="129"/>
      <c r="C80" s="125"/>
      <c r="D80" s="125"/>
      <c r="E80" s="126"/>
      <c r="F80" s="108"/>
      <c r="G80" s="103"/>
      <c r="H80" s="127">
        <f t="shared" si="3"/>
        <v>1043.04</v>
      </c>
      <c r="I80" s="86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7.25" customHeight="1">
      <c r="A81" s="118"/>
      <c r="B81" s="118"/>
      <c r="C81" s="125"/>
      <c r="D81" s="125"/>
      <c r="E81" s="126"/>
      <c r="F81" s="108"/>
      <c r="G81" s="103"/>
      <c r="H81" s="127">
        <f t="shared" si="3"/>
        <v>1043.04</v>
      </c>
      <c r="I81" s="86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7.25" customHeight="1">
      <c r="A82" s="131"/>
      <c r="B82" s="118"/>
      <c r="C82" s="125"/>
      <c r="D82" s="125"/>
      <c r="E82" s="126"/>
      <c r="F82" s="108"/>
      <c r="G82" s="103"/>
      <c r="H82" s="127">
        <f t="shared" si="3"/>
        <v>1043.04</v>
      </c>
      <c r="I82" s="8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7.25" customHeight="1">
      <c r="A83" s="118"/>
      <c r="B83" s="118"/>
      <c r="C83" s="125"/>
      <c r="D83" s="125"/>
      <c r="E83" s="126"/>
      <c r="F83" s="108"/>
      <c r="G83" s="103"/>
      <c r="H83" s="127">
        <f t="shared" si="3"/>
        <v>1043.04</v>
      </c>
      <c r="I83" s="86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7.25" customHeight="1">
      <c r="A84" s="118"/>
      <c r="B84" s="118"/>
      <c r="C84" s="125"/>
      <c r="D84" s="125"/>
      <c r="E84" s="126"/>
      <c r="F84" s="108"/>
      <c r="G84" s="103"/>
      <c r="H84" s="127">
        <f t="shared" si="3"/>
        <v>1043.04</v>
      </c>
      <c r="I84" s="8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7.25" customHeight="1">
      <c r="A85" s="118"/>
      <c r="B85" s="118"/>
      <c r="C85" s="125"/>
      <c r="D85" s="125"/>
      <c r="E85" s="126"/>
      <c r="F85" s="108"/>
      <c r="G85" s="103"/>
      <c r="H85" s="127">
        <f t="shared" si="3"/>
        <v>1043.04</v>
      </c>
      <c r="I85" s="8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7.25" customHeight="1">
      <c r="A86" s="131"/>
      <c r="B86" s="118"/>
      <c r="C86" s="125"/>
      <c r="D86" s="125"/>
      <c r="E86" s="126"/>
      <c r="F86" s="108"/>
      <c r="G86" s="103"/>
      <c r="H86" s="127">
        <f t="shared" si="3"/>
        <v>1043.04</v>
      </c>
      <c r="I86" s="8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7.25" customHeight="1">
      <c r="A87" s="131"/>
      <c r="B87" s="118"/>
      <c r="C87" s="125"/>
      <c r="D87" s="125"/>
      <c r="E87" s="126"/>
      <c r="F87" s="108"/>
      <c r="G87" s="103"/>
      <c r="H87" s="127">
        <f t="shared" si="3"/>
        <v>1043.04</v>
      </c>
      <c r="I87" s="86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7.25" customHeight="1">
      <c r="A88" s="118"/>
      <c r="B88" s="118"/>
      <c r="C88" s="125"/>
      <c r="D88" s="125"/>
      <c r="E88" s="126"/>
      <c r="F88" s="108"/>
      <c r="G88" s="103"/>
      <c r="H88" s="127">
        <f t="shared" si="3"/>
        <v>1043.04</v>
      </c>
      <c r="I88" s="8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7.25" customHeight="1">
      <c r="A89" s="118"/>
      <c r="B89" s="118"/>
      <c r="C89" s="125"/>
      <c r="D89" s="125"/>
      <c r="E89" s="126"/>
      <c r="F89" s="108"/>
      <c r="G89" s="103"/>
      <c r="H89" s="127">
        <f t="shared" si="3"/>
        <v>1043.04</v>
      </c>
      <c r="I89" s="8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7.25" customHeight="1">
      <c r="A90" s="118"/>
      <c r="B90" s="118"/>
      <c r="C90" s="125"/>
      <c r="D90" s="125"/>
      <c r="E90" s="126"/>
      <c r="F90" s="108"/>
      <c r="G90" s="103"/>
      <c r="H90" s="127">
        <f t="shared" si="3"/>
        <v>1043.04</v>
      </c>
      <c r="I90" s="8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7.25" customHeight="1">
      <c r="A91" s="118"/>
      <c r="B91" s="118"/>
      <c r="C91" s="125"/>
      <c r="D91" s="125"/>
      <c r="E91" s="126"/>
      <c r="F91" s="108"/>
      <c r="G91" s="103"/>
      <c r="H91" s="127">
        <f t="shared" si="3"/>
        <v>1043.04</v>
      </c>
      <c r="I91" s="8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7.25" customHeight="1">
      <c r="A92" s="129"/>
      <c r="B92" s="129"/>
      <c r="C92" s="125"/>
      <c r="D92" s="125"/>
      <c r="E92" s="126"/>
      <c r="F92" s="108"/>
      <c r="G92" s="103"/>
      <c r="H92" s="127">
        <f t="shared" si="3"/>
        <v>1043.04</v>
      </c>
      <c r="I92" s="8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7.25" customHeight="1">
      <c r="A93" s="130"/>
      <c r="B93" s="118"/>
      <c r="C93" s="125"/>
      <c r="D93" s="125"/>
      <c r="E93" s="126"/>
      <c r="F93" s="108"/>
      <c r="G93" s="103"/>
      <c r="H93" s="127">
        <f t="shared" si="3"/>
        <v>1043.04</v>
      </c>
      <c r="I93" s="8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7.25" customHeight="1">
      <c r="A94" s="130"/>
      <c r="B94" s="118"/>
      <c r="C94" s="125"/>
      <c r="D94" s="125"/>
      <c r="E94" s="126"/>
      <c r="F94" s="108"/>
      <c r="G94" s="103"/>
      <c r="H94" s="127">
        <f t="shared" si="3"/>
        <v>1043.04</v>
      </c>
      <c r="I94" s="86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7.25" customHeight="1">
      <c r="A95" s="129"/>
      <c r="B95" s="118"/>
      <c r="C95" s="125"/>
      <c r="D95" s="125"/>
      <c r="E95" s="126"/>
      <c r="F95" s="108"/>
      <c r="G95" s="103"/>
      <c r="H95" s="127">
        <f t="shared" si="3"/>
        <v>1043.04</v>
      </c>
      <c r="I95" s="86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7.25" customHeight="1">
      <c r="A96" s="130"/>
      <c r="B96" s="129"/>
      <c r="C96" s="125"/>
      <c r="D96" s="125"/>
      <c r="E96" s="126"/>
      <c r="F96" s="108"/>
      <c r="G96" s="103"/>
      <c r="H96" s="127">
        <f t="shared" si="3"/>
        <v>1043.04</v>
      </c>
      <c r="I96" s="86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7.25" customHeight="1">
      <c r="A97" s="129"/>
      <c r="B97" s="129"/>
      <c r="C97" s="125"/>
      <c r="D97" s="125"/>
      <c r="E97" s="126"/>
      <c r="F97" s="108"/>
      <c r="G97" s="103"/>
      <c r="H97" s="127">
        <f t="shared" si="3"/>
        <v>1043.04</v>
      </c>
      <c r="I97" s="8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7.25" customHeight="1">
      <c r="A98" s="130"/>
      <c r="B98" s="129"/>
      <c r="C98" s="125"/>
      <c r="D98" s="125"/>
      <c r="E98" s="126"/>
      <c r="F98" s="108"/>
      <c r="G98" s="103"/>
      <c r="H98" s="127">
        <f t="shared" si="3"/>
        <v>1043.04</v>
      </c>
      <c r="I98" s="86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7.25" customHeight="1">
      <c r="A99" s="130"/>
      <c r="B99" s="129"/>
      <c r="C99" s="125"/>
      <c r="D99" s="125"/>
      <c r="E99" s="126"/>
      <c r="F99" s="108"/>
      <c r="G99" s="103"/>
      <c r="H99" s="127">
        <f t="shared" si="3"/>
        <v>1043.04</v>
      </c>
      <c r="I99" s="8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7.25" customHeight="1">
      <c r="A100" s="130"/>
      <c r="B100" s="129"/>
      <c r="C100" s="125"/>
      <c r="D100" s="125"/>
      <c r="E100" s="126"/>
      <c r="F100" s="108"/>
      <c r="G100" s="103"/>
      <c r="H100" s="127">
        <f t="shared" si="3"/>
        <v>1043.04</v>
      </c>
      <c r="I100" s="8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7.25" customHeight="1">
      <c r="A101" s="129"/>
      <c r="B101" s="129"/>
      <c r="C101" s="125"/>
      <c r="D101" s="125"/>
      <c r="E101" s="126"/>
      <c r="F101" s="108"/>
      <c r="G101" s="103"/>
      <c r="H101" s="127">
        <f t="shared" si="3"/>
        <v>1043.04</v>
      </c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ht="17.25" customHeight="1">
      <c r="A102" s="130"/>
      <c r="B102" s="129"/>
      <c r="C102" s="132"/>
      <c r="D102" s="132"/>
      <c r="E102" s="126"/>
      <c r="F102" s="108"/>
      <c r="G102" s="103"/>
      <c r="H102" s="133">
        <f t="shared" si="3"/>
        <v>1043.04</v>
      </c>
      <c r="I102" s="86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7.25" customHeight="1">
      <c r="A103" s="129"/>
      <c r="B103" s="129"/>
      <c r="C103" s="132"/>
      <c r="D103" s="132"/>
      <c r="E103" s="126"/>
      <c r="F103" s="108"/>
      <c r="G103" s="103"/>
      <c r="H103" s="133">
        <f t="shared" si="3"/>
        <v>1043.04</v>
      </c>
      <c r="I103" s="86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7.25" customHeight="1">
      <c r="A104" s="129"/>
      <c r="B104" s="129"/>
      <c r="C104" s="132"/>
      <c r="D104" s="132"/>
      <c r="E104" s="126"/>
      <c r="F104" s="108"/>
      <c r="G104" s="103"/>
      <c r="H104" s="133">
        <f t="shared" si="3"/>
        <v>1043.04</v>
      </c>
      <c r="I104" s="86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7.25" customHeight="1">
      <c r="A105" s="129"/>
      <c r="B105" s="129"/>
      <c r="C105" s="132"/>
      <c r="D105" s="132"/>
      <c r="E105" s="126"/>
      <c r="F105" s="108"/>
      <c r="G105" s="103"/>
      <c r="H105" s="133">
        <f t="shared" si="3"/>
        <v>1043.04</v>
      </c>
      <c r="I105" s="86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7.25" customHeight="1">
      <c r="A106" s="129"/>
      <c r="B106" s="129"/>
      <c r="C106" s="132"/>
      <c r="D106" s="132"/>
      <c r="E106" s="126"/>
      <c r="F106" s="108"/>
      <c r="G106" s="103"/>
      <c r="H106" s="133">
        <f t="shared" si="3"/>
        <v>1043.04</v>
      </c>
      <c r="I106" s="86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7.25" customHeight="1">
      <c r="A107" s="129"/>
      <c r="B107" s="129"/>
      <c r="C107" s="132"/>
      <c r="D107" s="132"/>
      <c r="E107" s="126"/>
      <c r="F107" s="108"/>
      <c r="G107" s="103"/>
      <c r="H107" s="133">
        <f t="shared" si="3"/>
        <v>1043.04</v>
      </c>
      <c r="I107" s="86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7.25" customHeight="1">
      <c r="A108" s="129"/>
      <c r="B108" s="129"/>
      <c r="C108" s="132"/>
      <c r="D108" s="132"/>
      <c r="E108" s="126"/>
      <c r="F108" s="108"/>
      <c r="G108" s="103"/>
      <c r="H108" s="133">
        <f t="shared" si="3"/>
        <v>1043.04</v>
      </c>
      <c r="I108" s="86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7.25" customHeight="1">
      <c r="A109" s="129"/>
      <c r="B109" s="129"/>
      <c r="C109" s="132"/>
      <c r="D109" s="132"/>
      <c r="E109" s="126"/>
      <c r="F109" s="108"/>
      <c r="G109" s="103"/>
      <c r="H109" s="133">
        <f t="shared" si="3"/>
        <v>1043.04</v>
      </c>
      <c r="I109" s="8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7.25" customHeight="1">
      <c r="A110" s="129"/>
      <c r="B110" s="129"/>
      <c r="C110" s="132"/>
      <c r="D110" s="132"/>
      <c r="E110" s="126"/>
      <c r="F110" s="108"/>
      <c r="G110" s="103"/>
      <c r="H110" s="133">
        <f t="shared" si="3"/>
        <v>1043.04</v>
      </c>
      <c r="I110" s="86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7.25" customHeight="1">
      <c r="A111" s="129"/>
      <c r="B111" s="129"/>
      <c r="C111" s="132"/>
      <c r="D111" s="132"/>
      <c r="E111" s="126"/>
      <c r="F111" s="108"/>
      <c r="G111" s="103"/>
      <c r="H111" s="133">
        <f t="shared" si="3"/>
        <v>1043.04</v>
      </c>
      <c r="I111" s="86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7.25" customHeight="1">
      <c r="A112" s="129"/>
      <c r="B112" s="129"/>
      <c r="C112" s="132"/>
      <c r="D112" s="132"/>
      <c r="E112" s="126"/>
      <c r="F112" s="108"/>
      <c r="G112" s="103"/>
      <c r="H112" s="133">
        <f t="shared" si="3"/>
        <v>1043.04</v>
      </c>
      <c r="I112" s="86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7.25" customHeight="1">
      <c r="A113" s="129"/>
      <c r="B113" s="129"/>
      <c r="C113" s="132"/>
      <c r="D113" s="132"/>
      <c r="E113" s="126"/>
      <c r="F113" s="108"/>
      <c r="G113" s="103"/>
      <c r="H113" s="133">
        <f t="shared" si="3"/>
        <v>1043.04</v>
      </c>
      <c r="I113" s="86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7.25" customHeight="1">
      <c r="A114" s="129"/>
      <c r="B114" s="129"/>
      <c r="C114" s="132"/>
      <c r="D114" s="132"/>
      <c r="E114" s="126"/>
      <c r="F114" s="108"/>
      <c r="G114" s="103"/>
      <c r="H114" s="133">
        <f t="shared" si="3"/>
        <v>1043.04</v>
      </c>
      <c r="I114" s="86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7.25" customHeight="1">
      <c r="A115" s="129"/>
      <c r="B115" s="129"/>
      <c r="C115" s="132"/>
      <c r="D115" s="132"/>
      <c r="E115" s="126"/>
      <c r="F115" s="108"/>
      <c r="G115" s="103"/>
      <c r="H115" s="133">
        <f t="shared" si="3"/>
        <v>1043.04</v>
      </c>
      <c r="I115" s="86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7.25" customHeight="1">
      <c r="A116" s="129"/>
      <c r="B116" s="129"/>
      <c r="C116" s="132"/>
      <c r="D116" s="132"/>
      <c r="E116" s="126"/>
      <c r="F116" s="108"/>
      <c r="G116" s="103"/>
      <c r="H116" s="133">
        <f t="shared" si="3"/>
        <v>1043.04</v>
      </c>
      <c r="I116" s="86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7.25" customHeight="1">
      <c r="A117" s="129"/>
      <c r="B117" s="129"/>
      <c r="C117" s="132"/>
      <c r="D117" s="132"/>
      <c r="E117" s="126"/>
      <c r="F117" s="108"/>
      <c r="G117" s="103"/>
      <c r="H117" s="133">
        <f t="shared" si="3"/>
        <v>1043.04</v>
      </c>
      <c r="I117" s="86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7.25" customHeight="1">
      <c r="A118" s="129"/>
      <c r="B118" s="129"/>
      <c r="C118" s="132"/>
      <c r="D118" s="132"/>
      <c r="E118" s="126"/>
      <c r="F118" s="108"/>
      <c r="G118" s="103"/>
      <c r="H118" s="133">
        <f t="shared" si="3"/>
        <v>1043.04</v>
      </c>
      <c r="I118" s="86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7.25" customHeight="1">
      <c r="A119" s="129"/>
      <c r="B119" s="129"/>
      <c r="C119" s="132"/>
      <c r="D119" s="132"/>
      <c r="E119" s="126"/>
      <c r="F119" s="108"/>
      <c r="G119" s="103"/>
      <c r="H119" s="133">
        <f t="shared" si="3"/>
        <v>1043.04</v>
      </c>
      <c r="I119" s="86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7.25" customHeight="1">
      <c r="A120" s="126"/>
      <c r="B120" s="129"/>
      <c r="C120" s="132"/>
      <c r="D120" s="132"/>
      <c r="E120" s="126"/>
      <c r="F120" s="108"/>
      <c r="G120" s="103"/>
      <c r="H120" s="133">
        <f t="shared" si="3"/>
        <v>1043.04</v>
      </c>
      <c r="I120" s="86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7.25" customHeight="1">
      <c r="A121" s="126"/>
      <c r="B121" s="129"/>
      <c r="C121" s="132"/>
      <c r="D121" s="132"/>
      <c r="E121" s="126"/>
      <c r="F121" s="108"/>
      <c r="G121" s="103"/>
      <c r="H121" s="133">
        <f t="shared" si="3"/>
        <v>1043.04</v>
      </c>
      <c r="I121" s="86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32"/>
      <c r="B122" s="134"/>
      <c r="C122" s="132"/>
      <c r="D122" s="132"/>
      <c r="E122" s="132"/>
      <c r="F122" s="108"/>
      <c r="G122" s="103"/>
      <c r="H122" s="133">
        <f t="shared" si="3"/>
        <v>1043.04</v>
      </c>
      <c r="I122" s="86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32"/>
      <c r="B123" s="134"/>
      <c r="C123" s="132"/>
      <c r="D123" s="132"/>
      <c r="E123" s="132"/>
      <c r="F123" s="108"/>
      <c r="G123" s="103"/>
      <c r="H123" s="133">
        <f t="shared" si="3"/>
        <v>1043.04</v>
      </c>
      <c r="I123" s="86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32"/>
      <c r="B124" s="134"/>
      <c r="C124" s="132"/>
      <c r="D124" s="132"/>
      <c r="E124" s="132"/>
      <c r="F124" s="108"/>
      <c r="G124" s="103"/>
      <c r="H124" s="133">
        <f t="shared" si="3"/>
        <v>1043.04</v>
      </c>
      <c r="I124" s="86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28"/>
      <c r="B125" s="134"/>
      <c r="C125" s="132"/>
      <c r="D125" s="132"/>
      <c r="E125" s="132"/>
      <c r="F125" s="108"/>
      <c r="G125" s="103"/>
      <c r="H125" s="133">
        <f t="shared" si="3"/>
        <v>1043.04</v>
      </c>
      <c r="I125" s="86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28"/>
      <c r="B126" s="134"/>
      <c r="C126" s="132"/>
      <c r="D126" s="132"/>
      <c r="E126" s="132"/>
      <c r="F126" s="108"/>
      <c r="G126" s="103"/>
      <c r="H126" s="133">
        <f t="shared" si="3"/>
        <v>1043.04</v>
      </c>
      <c r="I126" s="86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28"/>
      <c r="B127" s="134"/>
      <c r="C127" s="132"/>
      <c r="D127" s="132"/>
      <c r="E127" s="132"/>
      <c r="F127" s="108"/>
      <c r="G127" s="103"/>
      <c r="H127" s="133">
        <f t="shared" si="3"/>
        <v>1043.04</v>
      </c>
      <c r="I127" s="86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32"/>
      <c r="B128" s="134"/>
      <c r="C128" s="132"/>
      <c r="D128" s="132"/>
      <c r="E128" s="132"/>
      <c r="F128" s="108"/>
      <c r="G128" s="103"/>
      <c r="H128" s="133">
        <f t="shared" si="3"/>
        <v>1043.04</v>
      </c>
      <c r="I128" s="86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32"/>
      <c r="B129" s="134"/>
      <c r="C129" s="132"/>
      <c r="D129" s="132"/>
      <c r="E129" s="132"/>
      <c r="F129" s="108"/>
      <c r="G129" s="103"/>
      <c r="H129" s="133">
        <f t="shared" si="3"/>
        <v>1043.04</v>
      </c>
      <c r="I129" s="86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32"/>
      <c r="B130" s="134"/>
      <c r="C130" s="132"/>
      <c r="D130" s="132"/>
      <c r="E130" s="132"/>
      <c r="F130" s="108"/>
      <c r="G130" s="103"/>
      <c r="H130" s="133">
        <f t="shared" si="3"/>
        <v>1043.04</v>
      </c>
      <c r="I130" s="86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32"/>
      <c r="B131" s="134"/>
      <c r="C131" s="132"/>
      <c r="D131" s="132"/>
      <c r="E131" s="132"/>
      <c r="F131" s="108"/>
      <c r="G131" s="103"/>
      <c r="H131" s="133">
        <f t="shared" si="3"/>
        <v>1043.04</v>
      </c>
      <c r="I131" s="86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32"/>
      <c r="B132" s="134"/>
      <c r="C132" s="132"/>
      <c r="D132" s="132"/>
      <c r="E132" s="132"/>
      <c r="F132" s="108"/>
      <c r="G132" s="103"/>
      <c r="H132" s="133">
        <f t="shared" si="3"/>
        <v>1043.04</v>
      </c>
      <c r="I132" s="8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32"/>
      <c r="B133" s="134"/>
      <c r="C133" s="132"/>
      <c r="D133" s="132"/>
      <c r="E133" s="132"/>
      <c r="F133" s="108"/>
      <c r="G133" s="103"/>
      <c r="H133" s="133">
        <f t="shared" si="3"/>
        <v>1043.04</v>
      </c>
      <c r="I133" s="86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32"/>
      <c r="B134" s="134"/>
      <c r="C134" s="132"/>
      <c r="D134" s="132"/>
      <c r="E134" s="132"/>
      <c r="F134" s="108"/>
      <c r="G134" s="103"/>
      <c r="H134" s="133">
        <f t="shared" si="3"/>
        <v>1043.04</v>
      </c>
      <c r="I134" s="86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32"/>
      <c r="B135" s="134"/>
      <c r="C135" s="132"/>
      <c r="D135" s="132"/>
      <c r="E135" s="132"/>
      <c r="F135" s="108"/>
      <c r="G135" s="103"/>
      <c r="H135" s="133">
        <f t="shared" si="3"/>
        <v>1043.04</v>
      </c>
      <c r="I135" s="86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32"/>
      <c r="B136" s="134"/>
      <c r="C136" s="132"/>
      <c r="D136" s="132"/>
      <c r="E136" s="132"/>
      <c r="F136" s="108"/>
      <c r="G136" s="103"/>
      <c r="H136" s="133">
        <f t="shared" si="3"/>
        <v>1043.04</v>
      </c>
      <c r="I136" s="86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32"/>
      <c r="B137" s="134"/>
      <c r="C137" s="132"/>
      <c r="D137" s="132"/>
      <c r="E137" s="132"/>
      <c r="F137" s="108"/>
      <c r="G137" s="103"/>
      <c r="H137" s="133">
        <f t="shared" si="3"/>
        <v>1043.04</v>
      </c>
      <c r="I137" s="86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32"/>
      <c r="B138" s="134"/>
      <c r="C138" s="132"/>
      <c r="D138" s="132"/>
      <c r="E138" s="132"/>
      <c r="F138" s="108"/>
      <c r="G138" s="103"/>
      <c r="H138" s="133">
        <f t="shared" si="3"/>
        <v>1043.04</v>
      </c>
      <c r="I138" s="86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32"/>
      <c r="B139" s="134"/>
      <c r="C139" s="132"/>
      <c r="D139" s="132"/>
      <c r="E139" s="132"/>
      <c r="F139" s="108"/>
      <c r="G139" s="103"/>
      <c r="H139" s="133">
        <f t="shared" si="3"/>
        <v>1043.04</v>
      </c>
      <c r="I139" s="86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32"/>
      <c r="B140" s="134"/>
      <c r="C140" s="132"/>
      <c r="D140" s="132"/>
      <c r="E140" s="132"/>
      <c r="F140" s="108"/>
      <c r="G140" s="103"/>
      <c r="H140" s="133">
        <f t="shared" si="3"/>
        <v>1043.04</v>
      </c>
      <c r="I140" s="86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32"/>
      <c r="B141" s="134"/>
      <c r="C141" s="132"/>
      <c r="D141" s="132"/>
      <c r="E141" s="132"/>
      <c r="F141" s="108"/>
      <c r="G141" s="103"/>
      <c r="H141" s="133">
        <f t="shared" si="3"/>
        <v>1043.04</v>
      </c>
      <c r="I141" s="86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32"/>
      <c r="B142" s="134"/>
      <c r="C142" s="132"/>
      <c r="D142" s="132"/>
      <c r="E142" s="132"/>
      <c r="F142" s="108"/>
      <c r="G142" s="103"/>
      <c r="H142" s="133">
        <f t="shared" si="3"/>
        <v>1043.04</v>
      </c>
      <c r="I142" s="86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32"/>
      <c r="B143" s="134"/>
      <c r="C143" s="132"/>
      <c r="D143" s="132"/>
      <c r="E143" s="132"/>
      <c r="F143" s="108"/>
      <c r="G143" s="103"/>
      <c r="H143" s="133">
        <f t="shared" si="3"/>
        <v>1043.04</v>
      </c>
      <c r="I143" s="86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32"/>
      <c r="B144" s="134"/>
      <c r="C144" s="132"/>
      <c r="D144" s="132"/>
      <c r="E144" s="132"/>
      <c r="F144" s="108"/>
      <c r="G144" s="103"/>
      <c r="H144" s="133">
        <f t="shared" si="3"/>
        <v>1043.04</v>
      </c>
      <c r="I144" s="86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32"/>
      <c r="B145" s="134"/>
      <c r="C145" s="132"/>
      <c r="D145" s="132"/>
      <c r="E145" s="132"/>
      <c r="F145" s="108"/>
      <c r="G145" s="103"/>
      <c r="H145" s="133">
        <f t="shared" si="3"/>
        <v>1043.04</v>
      </c>
      <c r="I145" s="86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32"/>
      <c r="B146" s="134"/>
      <c r="C146" s="132"/>
      <c r="D146" s="132"/>
      <c r="E146" s="132"/>
      <c r="F146" s="108"/>
      <c r="G146" s="103"/>
      <c r="H146" s="133">
        <f t="shared" si="3"/>
        <v>1043.04</v>
      </c>
      <c r="I146" s="86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32"/>
      <c r="B147" s="134"/>
      <c r="C147" s="132"/>
      <c r="D147" s="132"/>
      <c r="E147" s="132"/>
      <c r="F147" s="108"/>
      <c r="G147" s="103"/>
      <c r="H147" s="133">
        <f t="shared" si="3"/>
        <v>1043.04</v>
      </c>
      <c r="I147" s="86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32"/>
      <c r="B148" s="134"/>
      <c r="C148" s="132"/>
      <c r="D148" s="132"/>
      <c r="E148" s="132"/>
      <c r="F148" s="108"/>
      <c r="G148" s="103"/>
      <c r="H148" s="133">
        <f t="shared" si="3"/>
        <v>1043.04</v>
      </c>
      <c r="I148" s="86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32"/>
      <c r="B149" s="134"/>
      <c r="C149" s="132"/>
      <c r="D149" s="132"/>
      <c r="E149" s="132"/>
      <c r="F149" s="108"/>
      <c r="G149" s="103"/>
      <c r="H149" s="133">
        <f t="shared" si="3"/>
        <v>1043.04</v>
      </c>
      <c r="I149" s="86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32"/>
      <c r="B150" s="134"/>
      <c r="C150" s="132"/>
      <c r="D150" s="132"/>
      <c r="E150" s="132"/>
      <c r="F150" s="108"/>
      <c r="G150" s="103"/>
      <c r="H150" s="133">
        <f t="shared" si="3"/>
        <v>1043.04</v>
      </c>
      <c r="I150" s="86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32"/>
      <c r="B151" s="134"/>
      <c r="C151" s="132"/>
      <c r="D151" s="132"/>
      <c r="E151" s="132"/>
      <c r="F151" s="108"/>
      <c r="G151" s="103"/>
      <c r="H151" s="133">
        <f t="shared" si="3"/>
        <v>1043.04</v>
      </c>
      <c r="I151" s="86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32"/>
      <c r="B152" s="134"/>
      <c r="C152" s="132"/>
      <c r="D152" s="132"/>
      <c r="E152" s="132"/>
      <c r="F152" s="108"/>
      <c r="G152" s="103"/>
      <c r="H152" s="133">
        <f t="shared" si="3"/>
        <v>1043.04</v>
      </c>
      <c r="I152" s="86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32"/>
      <c r="B153" s="134"/>
      <c r="C153" s="132"/>
      <c r="D153" s="132"/>
      <c r="E153" s="132"/>
      <c r="F153" s="108"/>
      <c r="G153" s="103"/>
      <c r="H153" s="133">
        <f t="shared" si="3"/>
        <v>1043.04</v>
      </c>
      <c r="I153" s="86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32"/>
      <c r="B154" s="134"/>
      <c r="C154" s="132"/>
      <c r="D154" s="132"/>
      <c r="E154" s="132"/>
      <c r="F154" s="108"/>
      <c r="G154" s="103"/>
      <c r="H154" s="133">
        <f t="shared" si="3"/>
        <v>1043.04</v>
      </c>
      <c r="I154" s="86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32"/>
      <c r="B155" s="134"/>
      <c r="C155" s="132"/>
      <c r="D155" s="132"/>
      <c r="E155" s="132"/>
      <c r="F155" s="108"/>
      <c r="G155" s="103"/>
      <c r="H155" s="133">
        <f t="shared" si="3"/>
        <v>1043.04</v>
      </c>
      <c r="I155" s="86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28"/>
      <c r="B156" s="134"/>
      <c r="C156" s="132"/>
      <c r="D156" s="132"/>
      <c r="E156" s="132"/>
      <c r="F156" s="108"/>
      <c r="G156" s="103"/>
      <c r="H156" s="133">
        <f t="shared" si="3"/>
        <v>1043.04</v>
      </c>
      <c r="I156" s="86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32"/>
      <c r="B157" s="134"/>
      <c r="C157" s="132"/>
      <c r="D157" s="132"/>
      <c r="E157" s="132"/>
      <c r="F157" s="108"/>
      <c r="G157" s="103"/>
      <c r="H157" s="133">
        <f t="shared" si="3"/>
        <v>1043.04</v>
      </c>
      <c r="I157" s="86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32"/>
      <c r="B158" s="134"/>
      <c r="C158" s="132"/>
      <c r="D158" s="132"/>
      <c r="E158" s="132"/>
      <c r="F158" s="108"/>
      <c r="G158" s="103"/>
      <c r="H158" s="133">
        <f t="shared" si="3"/>
        <v>1043.04</v>
      </c>
      <c r="I158" s="86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32"/>
      <c r="B159" s="134"/>
      <c r="C159" s="132"/>
      <c r="D159" s="132"/>
      <c r="E159" s="132"/>
      <c r="F159" s="108"/>
      <c r="G159" s="103"/>
      <c r="H159" s="133">
        <f t="shared" si="3"/>
        <v>1043.04</v>
      </c>
      <c r="I159" s="86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32"/>
      <c r="B160" s="134"/>
      <c r="C160" s="132"/>
      <c r="D160" s="132"/>
      <c r="E160" s="132"/>
      <c r="F160" s="108"/>
      <c r="G160" s="103"/>
      <c r="H160" s="133">
        <f t="shared" si="3"/>
        <v>1043.04</v>
      </c>
      <c r="I160" s="86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28"/>
      <c r="B161" s="134"/>
      <c r="C161" s="132"/>
      <c r="D161" s="132"/>
      <c r="E161" s="132"/>
      <c r="F161" s="108"/>
      <c r="G161" s="103"/>
      <c r="H161" s="133">
        <f t="shared" si="3"/>
        <v>1043.04</v>
      </c>
      <c r="I161" s="86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32"/>
      <c r="B162" s="134"/>
      <c r="C162" s="132"/>
      <c r="D162" s="132"/>
      <c r="E162" s="132"/>
      <c r="F162" s="108"/>
      <c r="G162" s="103"/>
      <c r="H162" s="133">
        <f t="shared" si="3"/>
        <v>1043.04</v>
      </c>
      <c r="I162" s="86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32"/>
      <c r="B163" s="134"/>
      <c r="C163" s="132"/>
      <c r="D163" s="132"/>
      <c r="E163" s="132"/>
      <c r="F163" s="108"/>
      <c r="G163" s="103"/>
      <c r="H163" s="133">
        <f t="shared" si="3"/>
        <v>1043.04</v>
      </c>
      <c r="I163" s="86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32"/>
      <c r="B164" s="134"/>
      <c r="C164" s="132"/>
      <c r="D164" s="132"/>
      <c r="E164" s="132"/>
      <c r="F164" s="108"/>
      <c r="G164" s="103"/>
      <c r="H164" s="133">
        <f t="shared" si="3"/>
        <v>1043.04</v>
      </c>
      <c r="I164" s="86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28"/>
      <c r="B165" s="134"/>
      <c r="C165" s="132"/>
      <c r="D165" s="132"/>
      <c r="E165" s="132"/>
      <c r="F165" s="108"/>
      <c r="G165" s="103"/>
      <c r="H165" s="133">
        <f t="shared" si="3"/>
        <v>1043.04</v>
      </c>
      <c r="I165" s="86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32"/>
      <c r="B166" s="134"/>
      <c r="C166" s="132"/>
      <c r="D166" s="132"/>
      <c r="E166" s="132"/>
      <c r="F166" s="108"/>
      <c r="G166" s="103"/>
      <c r="H166" s="133">
        <f t="shared" si="3"/>
        <v>1043.04</v>
      </c>
      <c r="I166" s="86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32"/>
      <c r="B167" s="134"/>
      <c r="C167" s="132"/>
      <c r="D167" s="132"/>
      <c r="E167" s="132"/>
      <c r="F167" s="108"/>
      <c r="G167" s="103"/>
      <c r="H167" s="133">
        <f t="shared" si="3"/>
        <v>1043.04</v>
      </c>
      <c r="I167" s="86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32"/>
      <c r="B168" s="134"/>
      <c r="C168" s="132"/>
      <c r="D168" s="132"/>
      <c r="E168" s="132"/>
      <c r="F168" s="108"/>
      <c r="G168" s="103"/>
      <c r="H168" s="133">
        <f t="shared" si="3"/>
        <v>1043.04</v>
      </c>
      <c r="I168" s="86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32"/>
      <c r="B169" s="134"/>
      <c r="C169" s="132"/>
      <c r="D169" s="132"/>
      <c r="E169" s="132"/>
      <c r="F169" s="108"/>
      <c r="G169" s="103"/>
      <c r="H169" s="133">
        <f t="shared" si="3"/>
        <v>1043.04</v>
      </c>
      <c r="I169" s="86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32"/>
      <c r="B170" s="134"/>
      <c r="C170" s="132"/>
      <c r="D170" s="132"/>
      <c r="E170" s="132"/>
      <c r="F170" s="108"/>
      <c r="G170" s="103"/>
      <c r="H170" s="133">
        <f t="shared" si="3"/>
        <v>1043.04</v>
      </c>
      <c r="I170" s="86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32"/>
      <c r="B171" s="134"/>
      <c r="C171" s="132"/>
      <c r="D171" s="132"/>
      <c r="E171" s="132"/>
      <c r="F171" s="108"/>
      <c r="G171" s="103"/>
      <c r="H171" s="133">
        <f t="shared" si="3"/>
        <v>1043.04</v>
      </c>
      <c r="I171" s="86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32"/>
      <c r="B172" s="134"/>
      <c r="C172" s="132"/>
      <c r="D172" s="132"/>
      <c r="E172" s="132"/>
      <c r="F172" s="108"/>
      <c r="G172" s="103"/>
      <c r="H172" s="133">
        <f t="shared" si="3"/>
        <v>1043.04</v>
      </c>
      <c r="I172" s="86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32"/>
      <c r="B173" s="134"/>
      <c r="C173" s="132"/>
      <c r="D173" s="132"/>
      <c r="E173" s="132"/>
      <c r="F173" s="108"/>
      <c r="G173" s="103"/>
      <c r="H173" s="133">
        <f t="shared" si="3"/>
        <v>1043.04</v>
      </c>
      <c r="I173" s="86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32"/>
      <c r="B174" s="134"/>
      <c r="C174" s="132"/>
      <c r="D174" s="132"/>
      <c r="E174" s="132"/>
      <c r="F174" s="108"/>
      <c r="G174" s="103"/>
      <c r="H174" s="133">
        <f t="shared" si="3"/>
        <v>1043.04</v>
      </c>
      <c r="I174" s="86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32"/>
      <c r="B175" s="134"/>
      <c r="C175" s="132"/>
      <c r="D175" s="132"/>
      <c r="E175" s="132"/>
      <c r="F175" s="108"/>
      <c r="G175" s="103"/>
      <c r="H175" s="133">
        <f t="shared" si="3"/>
        <v>1043.04</v>
      </c>
      <c r="I175" s="86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32"/>
      <c r="B176" s="134"/>
      <c r="C176" s="132"/>
      <c r="D176" s="132"/>
      <c r="E176" s="132"/>
      <c r="F176" s="108"/>
      <c r="G176" s="103"/>
      <c r="H176" s="133">
        <f t="shared" si="3"/>
        <v>1043.04</v>
      </c>
      <c r="I176" s="86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32"/>
      <c r="B177" s="134"/>
      <c r="C177" s="132"/>
      <c r="D177" s="132"/>
      <c r="E177" s="132"/>
      <c r="F177" s="108"/>
      <c r="G177" s="103"/>
      <c r="H177" s="133">
        <f t="shared" si="3"/>
        <v>1043.04</v>
      </c>
      <c r="I177" s="86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32"/>
      <c r="B178" s="134"/>
      <c r="C178" s="132"/>
      <c r="D178" s="132"/>
      <c r="E178" s="132"/>
      <c r="F178" s="108"/>
      <c r="G178" s="103"/>
      <c r="H178" s="133">
        <f t="shared" si="3"/>
        <v>1043.04</v>
      </c>
      <c r="I178" s="86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28"/>
      <c r="B179" s="134"/>
      <c r="C179" s="132"/>
      <c r="D179" s="132"/>
      <c r="E179" s="132"/>
      <c r="F179" s="108"/>
      <c r="G179" s="103"/>
      <c r="H179" s="133">
        <f t="shared" si="3"/>
        <v>1043.04</v>
      </c>
      <c r="I179" s="86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28"/>
      <c r="B180" s="134"/>
      <c r="C180" s="132"/>
      <c r="D180" s="132"/>
      <c r="E180" s="132"/>
      <c r="F180" s="108"/>
      <c r="G180" s="103"/>
      <c r="H180" s="133">
        <f t="shared" si="3"/>
        <v>1043.04</v>
      </c>
      <c r="I180" s="86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32"/>
      <c r="B181" s="134"/>
      <c r="C181" s="132"/>
      <c r="D181" s="132"/>
      <c r="E181" s="132"/>
      <c r="F181" s="108"/>
      <c r="G181" s="103"/>
      <c r="H181" s="133">
        <f t="shared" si="3"/>
        <v>1043.04</v>
      </c>
      <c r="I181" s="86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32"/>
      <c r="B182" s="134"/>
      <c r="C182" s="132"/>
      <c r="D182" s="132"/>
      <c r="E182" s="132"/>
      <c r="F182" s="108"/>
      <c r="G182" s="103"/>
      <c r="H182" s="133">
        <f t="shared" si="3"/>
        <v>1043.04</v>
      </c>
      <c r="I182" s="86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32"/>
      <c r="B183" s="134"/>
      <c r="C183" s="132"/>
      <c r="D183" s="132"/>
      <c r="E183" s="132"/>
      <c r="F183" s="108"/>
      <c r="G183" s="103"/>
      <c r="H183" s="133">
        <f t="shared" si="3"/>
        <v>1043.04</v>
      </c>
      <c r="I183" s="86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32"/>
      <c r="B184" s="134"/>
      <c r="C184" s="132"/>
      <c r="D184" s="132"/>
      <c r="E184" s="132"/>
      <c r="F184" s="108"/>
      <c r="G184" s="103"/>
      <c r="H184" s="133">
        <f t="shared" si="3"/>
        <v>1043.04</v>
      </c>
      <c r="I184" s="86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28"/>
      <c r="B185" s="134"/>
      <c r="C185" s="132"/>
      <c r="D185" s="132"/>
      <c r="E185" s="132"/>
      <c r="F185" s="108"/>
      <c r="G185" s="103"/>
      <c r="H185" s="133">
        <f t="shared" si="3"/>
        <v>1043.04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32"/>
      <c r="B186" s="134"/>
      <c r="C186" s="132"/>
      <c r="D186" s="132"/>
      <c r="E186" s="132"/>
      <c r="F186" s="108"/>
      <c r="G186" s="103"/>
      <c r="H186" s="133">
        <f t="shared" si="3"/>
        <v>1043.04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32"/>
      <c r="B187" s="134"/>
      <c r="C187" s="132"/>
      <c r="D187" s="132"/>
      <c r="E187" s="132"/>
      <c r="F187" s="108"/>
      <c r="G187" s="103"/>
      <c r="H187" s="133">
        <f t="shared" si="3"/>
        <v>1043.04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32"/>
      <c r="B188" s="134"/>
      <c r="C188" s="132"/>
      <c r="D188" s="132"/>
      <c r="E188" s="132"/>
      <c r="F188" s="108"/>
      <c r="G188" s="103"/>
      <c r="H188" s="133">
        <f t="shared" si="3"/>
        <v>1043.04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32"/>
      <c r="B189" s="134"/>
      <c r="C189" s="132"/>
      <c r="D189" s="132"/>
      <c r="E189" s="132"/>
      <c r="F189" s="108"/>
      <c r="G189" s="103"/>
      <c r="H189" s="133">
        <f t="shared" si="3"/>
        <v>1043.04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32"/>
      <c r="B190" s="134"/>
      <c r="C190" s="132"/>
      <c r="D190" s="132"/>
      <c r="E190" s="132"/>
      <c r="F190" s="108"/>
      <c r="G190" s="103"/>
      <c r="H190" s="133">
        <f t="shared" si="3"/>
        <v>1043.04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32"/>
      <c r="B191" s="134"/>
      <c r="C191" s="132"/>
      <c r="D191" s="132"/>
      <c r="E191" s="132"/>
      <c r="F191" s="108"/>
      <c r="G191" s="103"/>
      <c r="H191" s="133">
        <f t="shared" si="3"/>
        <v>1043.04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32"/>
      <c r="B192" s="134"/>
      <c r="C192" s="132"/>
      <c r="D192" s="132"/>
      <c r="E192" s="132"/>
      <c r="F192" s="108"/>
      <c r="G192" s="103"/>
      <c r="H192" s="133">
        <f t="shared" si="3"/>
        <v>1043.04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32"/>
      <c r="B193" s="134"/>
      <c r="C193" s="132"/>
      <c r="D193" s="132"/>
      <c r="E193" s="132"/>
      <c r="F193" s="108"/>
      <c r="G193" s="103"/>
      <c r="H193" s="133">
        <f t="shared" si="3"/>
        <v>1043.04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28"/>
      <c r="B194" s="134"/>
      <c r="C194" s="132"/>
      <c r="D194" s="132"/>
      <c r="E194" s="132"/>
      <c r="F194" s="108"/>
      <c r="G194" s="103"/>
      <c r="H194" s="133">
        <f t="shared" si="3"/>
        <v>1043.04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28"/>
      <c r="B195" s="134"/>
      <c r="C195" s="132"/>
      <c r="D195" s="132"/>
      <c r="E195" s="132"/>
      <c r="F195" s="108"/>
      <c r="G195" s="103"/>
      <c r="H195" s="133">
        <f t="shared" si="3"/>
        <v>1043.04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32"/>
      <c r="B196" s="134"/>
      <c r="C196" s="132"/>
      <c r="D196" s="132"/>
      <c r="E196" s="132"/>
      <c r="F196" s="108"/>
      <c r="G196" s="103"/>
      <c r="H196" s="133">
        <f t="shared" si="3"/>
        <v>1043.04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32"/>
      <c r="B197" s="134"/>
      <c r="C197" s="132"/>
      <c r="D197" s="132"/>
      <c r="E197" s="132"/>
      <c r="F197" s="108"/>
      <c r="G197" s="103"/>
      <c r="H197" s="133">
        <f t="shared" si="3"/>
        <v>1043.04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32"/>
      <c r="B198" s="134"/>
      <c r="C198" s="132"/>
      <c r="D198" s="132"/>
      <c r="E198" s="132"/>
      <c r="F198" s="108"/>
      <c r="G198" s="103"/>
      <c r="H198" s="133">
        <f t="shared" si="3"/>
        <v>1043.04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32"/>
      <c r="B199" s="134"/>
      <c r="C199" s="132"/>
      <c r="D199" s="132"/>
      <c r="E199" s="132"/>
      <c r="F199" s="108"/>
      <c r="G199" s="103"/>
      <c r="H199" s="133">
        <f t="shared" si="3"/>
        <v>1043.04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32"/>
      <c r="B200" s="134"/>
      <c r="C200" s="132"/>
      <c r="D200" s="132"/>
      <c r="E200" s="132"/>
      <c r="F200" s="108"/>
      <c r="G200" s="103"/>
      <c r="H200" s="133">
        <f t="shared" si="3"/>
        <v>1043.04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32"/>
      <c r="B201" s="134"/>
      <c r="C201" s="132"/>
      <c r="D201" s="132"/>
      <c r="E201" s="132"/>
      <c r="F201" s="108"/>
      <c r="G201" s="103"/>
      <c r="H201" s="133">
        <f t="shared" si="3"/>
        <v>1043.04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32"/>
      <c r="B202" s="134"/>
      <c r="C202" s="132"/>
      <c r="D202" s="132"/>
      <c r="E202" s="132"/>
      <c r="F202" s="108"/>
      <c r="G202" s="103"/>
      <c r="H202" s="133">
        <f t="shared" si="3"/>
        <v>1043.04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28"/>
      <c r="B203" s="134"/>
      <c r="C203" s="132"/>
      <c r="D203" s="132"/>
      <c r="E203" s="132"/>
      <c r="F203" s="108"/>
      <c r="G203" s="103"/>
      <c r="H203" s="133">
        <f t="shared" si="3"/>
        <v>1043.04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28"/>
      <c r="B204" s="134"/>
      <c r="C204" s="132"/>
      <c r="D204" s="132"/>
      <c r="E204" s="132"/>
      <c r="F204" s="108"/>
      <c r="G204" s="103"/>
      <c r="H204" s="133">
        <f t="shared" si="3"/>
        <v>1043.04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32"/>
      <c r="B205" s="134"/>
      <c r="C205" s="132"/>
      <c r="D205" s="132"/>
      <c r="E205" s="132"/>
      <c r="F205" s="108"/>
      <c r="G205" s="103"/>
      <c r="H205" s="133">
        <f t="shared" si="3"/>
        <v>1043.04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28"/>
      <c r="B206" s="134"/>
      <c r="C206" s="132"/>
      <c r="D206" s="132"/>
      <c r="E206" s="132"/>
      <c r="F206" s="108"/>
      <c r="G206" s="103"/>
      <c r="H206" s="133">
        <f t="shared" si="3"/>
        <v>1043.04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28"/>
      <c r="B207" s="134"/>
      <c r="C207" s="132"/>
      <c r="D207" s="132"/>
      <c r="E207" s="132"/>
      <c r="F207" s="108"/>
      <c r="G207" s="103"/>
      <c r="H207" s="133">
        <f t="shared" si="3"/>
        <v>1043.04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28"/>
      <c r="B208" s="134"/>
      <c r="C208" s="132"/>
      <c r="D208" s="132"/>
      <c r="E208" s="132"/>
      <c r="F208" s="108"/>
      <c r="G208" s="103"/>
      <c r="H208" s="133">
        <f t="shared" si="3"/>
        <v>1043.04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32"/>
      <c r="B209" s="134"/>
      <c r="C209" s="132"/>
      <c r="D209" s="132"/>
      <c r="E209" s="132"/>
      <c r="F209" s="108"/>
      <c r="G209" s="103"/>
      <c r="H209" s="133">
        <f t="shared" si="3"/>
        <v>1043.04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32"/>
      <c r="B210" s="134"/>
      <c r="C210" s="132"/>
      <c r="D210" s="132"/>
      <c r="E210" s="132"/>
      <c r="F210" s="108"/>
      <c r="G210" s="103"/>
      <c r="H210" s="133">
        <f t="shared" si="3"/>
        <v>1043.04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28"/>
      <c r="B211" s="134"/>
      <c r="C211" s="132"/>
      <c r="D211" s="132"/>
      <c r="E211" s="132"/>
      <c r="F211" s="108"/>
      <c r="G211" s="103"/>
      <c r="H211" s="133">
        <f t="shared" si="3"/>
        <v>1043.04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32"/>
      <c r="B212" s="134"/>
      <c r="C212" s="132"/>
      <c r="D212" s="132"/>
      <c r="E212" s="132"/>
      <c r="F212" s="108"/>
      <c r="G212" s="103"/>
      <c r="H212" s="133">
        <f t="shared" si="3"/>
        <v>1043.04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32"/>
      <c r="B213" s="134"/>
      <c r="C213" s="132"/>
      <c r="D213" s="132"/>
      <c r="E213" s="132"/>
      <c r="F213" s="108"/>
      <c r="G213" s="103"/>
      <c r="H213" s="133">
        <f t="shared" si="3"/>
        <v>1043.04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32"/>
      <c r="B214" s="134"/>
      <c r="C214" s="132"/>
      <c r="D214" s="132"/>
      <c r="E214" s="132"/>
      <c r="F214" s="108"/>
      <c r="G214" s="103"/>
      <c r="H214" s="133">
        <f t="shared" si="3"/>
        <v>1043.04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32"/>
      <c r="B215" s="134"/>
      <c r="C215" s="132"/>
      <c r="D215" s="132"/>
      <c r="E215" s="132"/>
      <c r="F215" s="108"/>
      <c r="G215" s="103"/>
      <c r="H215" s="133">
        <f t="shared" si="3"/>
        <v>1043.04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32"/>
      <c r="B216" s="134"/>
      <c r="C216" s="132"/>
      <c r="D216" s="132"/>
      <c r="E216" s="132"/>
      <c r="F216" s="108"/>
      <c r="G216" s="103"/>
      <c r="H216" s="133">
        <f t="shared" si="3"/>
        <v>1043.04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32"/>
      <c r="B217" s="134"/>
      <c r="C217" s="132"/>
      <c r="D217" s="132"/>
      <c r="E217" s="132"/>
      <c r="F217" s="108"/>
      <c r="G217" s="103"/>
      <c r="H217" s="133">
        <f t="shared" si="3"/>
        <v>1043.04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32"/>
      <c r="B218" s="134"/>
      <c r="C218" s="132"/>
      <c r="D218" s="132"/>
      <c r="E218" s="132"/>
      <c r="F218" s="108"/>
      <c r="G218" s="103"/>
      <c r="H218" s="133">
        <f t="shared" si="3"/>
        <v>1043.04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32"/>
      <c r="B219" s="134"/>
      <c r="C219" s="132"/>
      <c r="D219" s="132"/>
      <c r="E219" s="132"/>
      <c r="F219" s="108"/>
      <c r="G219" s="103"/>
      <c r="H219" s="133">
        <f t="shared" si="3"/>
        <v>1043.04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32"/>
      <c r="B220" s="134"/>
      <c r="C220" s="132"/>
      <c r="D220" s="132"/>
      <c r="E220" s="132"/>
      <c r="F220" s="132"/>
      <c r="G220" s="103"/>
      <c r="H220" s="133">
        <f t="shared" si="3"/>
        <v>1043.04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32"/>
      <c r="B221" s="134"/>
      <c r="C221" s="132"/>
      <c r="D221" s="132"/>
      <c r="E221" s="132"/>
      <c r="F221" s="132"/>
      <c r="G221" s="103"/>
      <c r="H221" s="133">
        <f t="shared" si="3"/>
        <v>1043.04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35"/>
      <c r="B222" s="134"/>
      <c r="C222" s="132"/>
      <c r="D222" s="132"/>
      <c r="E222" s="132"/>
      <c r="F222" s="132"/>
      <c r="G222" s="103"/>
      <c r="H222" s="133">
        <f t="shared" si="3"/>
        <v>1043.04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28"/>
      <c r="B223" s="134"/>
      <c r="C223" s="132"/>
      <c r="D223" s="132"/>
      <c r="E223" s="132"/>
      <c r="F223" s="132"/>
      <c r="G223" s="103"/>
      <c r="H223" s="133">
        <f t="shared" si="3"/>
        <v>1043.04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32"/>
      <c r="B224" s="134"/>
      <c r="C224" s="132"/>
      <c r="D224" s="132"/>
      <c r="E224" s="132"/>
      <c r="F224" s="132"/>
      <c r="G224" s="103"/>
      <c r="H224" s="133">
        <f t="shared" si="3"/>
        <v>1043.04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28"/>
      <c r="B225" s="134"/>
      <c r="C225" s="132"/>
      <c r="D225" s="132"/>
      <c r="E225" s="132"/>
      <c r="F225" s="108"/>
      <c r="G225" s="103"/>
      <c r="H225" s="133">
        <f t="shared" si="3"/>
        <v>1043.04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32"/>
      <c r="B226" s="134"/>
      <c r="C226" s="132"/>
      <c r="D226" s="132"/>
      <c r="E226" s="132"/>
      <c r="F226" s="108"/>
      <c r="G226" s="103"/>
      <c r="H226" s="133">
        <f t="shared" si="3"/>
        <v>1043.04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32"/>
      <c r="B227" s="134"/>
      <c r="C227" s="132"/>
      <c r="D227" s="132"/>
      <c r="E227" s="132"/>
      <c r="F227" s="136"/>
      <c r="G227" s="103"/>
      <c r="H227" s="133">
        <f t="shared" si="3"/>
        <v>1043.04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32"/>
      <c r="B228" s="134"/>
      <c r="C228" s="132"/>
      <c r="D228" s="132"/>
      <c r="E228" s="132"/>
      <c r="F228" s="136"/>
      <c r="G228" s="103"/>
      <c r="H228" s="133">
        <f t="shared" si="3"/>
        <v>1043.04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28"/>
      <c r="B229" s="134"/>
      <c r="C229" s="132"/>
      <c r="D229" s="132"/>
      <c r="E229" s="132"/>
      <c r="F229" s="108"/>
      <c r="G229" s="103"/>
      <c r="H229" s="133">
        <f t="shared" si="3"/>
        <v>1043.04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37"/>
      <c r="B230" s="134"/>
      <c r="C230" s="132"/>
      <c r="D230" s="132"/>
      <c r="E230" s="132"/>
      <c r="F230" s="108"/>
      <c r="G230" s="103"/>
      <c r="H230" s="133">
        <f t="shared" si="3"/>
        <v>1043.04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32"/>
      <c r="B231" s="134"/>
      <c r="C231" s="132"/>
      <c r="D231" s="132"/>
      <c r="E231" s="132"/>
      <c r="F231" s="108"/>
      <c r="G231" s="103"/>
      <c r="H231" s="133">
        <f t="shared" si="3"/>
        <v>1043.04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32"/>
      <c r="B232" s="134"/>
      <c r="C232" s="132"/>
      <c r="D232" s="132"/>
      <c r="E232" s="132"/>
      <c r="F232" s="108"/>
      <c r="G232" s="103"/>
      <c r="H232" s="133">
        <f t="shared" si="3"/>
        <v>1043.04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28"/>
      <c r="B233" s="134"/>
      <c r="C233" s="132"/>
      <c r="D233" s="132"/>
      <c r="E233" s="132"/>
      <c r="F233" s="108"/>
      <c r="G233" s="103"/>
      <c r="H233" s="133">
        <f t="shared" si="3"/>
        <v>1043.04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28"/>
      <c r="B234" s="134"/>
      <c r="C234" s="132"/>
      <c r="D234" s="132"/>
      <c r="E234" s="132"/>
      <c r="F234" s="108"/>
      <c r="G234" s="103"/>
      <c r="H234" s="133">
        <f t="shared" si="3"/>
        <v>1043.04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32"/>
      <c r="B235" s="134"/>
      <c r="C235" s="132"/>
      <c r="D235" s="132"/>
      <c r="E235" s="132"/>
      <c r="F235" s="108"/>
      <c r="G235" s="103"/>
      <c r="H235" s="133">
        <f t="shared" si="3"/>
        <v>1043.04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38"/>
      <c r="B236" s="134"/>
      <c r="C236" s="132"/>
      <c r="D236" s="132"/>
      <c r="E236" s="132"/>
      <c r="F236" s="108"/>
      <c r="G236" s="103"/>
      <c r="H236" s="133">
        <f t="shared" si="3"/>
        <v>1043.04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38"/>
      <c r="B237" s="134"/>
      <c r="C237" s="132"/>
      <c r="D237" s="132"/>
      <c r="E237" s="132"/>
      <c r="F237" s="136"/>
      <c r="G237" s="103"/>
      <c r="H237" s="133">
        <f t="shared" si="3"/>
        <v>1043.04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32"/>
      <c r="B238" s="134"/>
      <c r="C238" s="132"/>
      <c r="D238" s="132"/>
      <c r="E238" s="132"/>
      <c r="F238" s="136"/>
      <c r="G238" s="103"/>
      <c r="H238" s="133">
        <f t="shared" si="3"/>
        <v>1043.04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32"/>
      <c r="B239" s="134"/>
      <c r="C239" s="132"/>
      <c r="D239" s="132"/>
      <c r="E239" s="132"/>
      <c r="F239" s="136"/>
      <c r="G239" s="103"/>
      <c r="H239" s="133">
        <f t="shared" si="3"/>
        <v>1043.04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32"/>
      <c r="B240" s="134"/>
      <c r="C240" s="132"/>
      <c r="D240" s="132"/>
      <c r="E240" s="132"/>
      <c r="F240" s="136"/>
      <c r="G240" s="103"/>
      <c r="H240" s="133">
        <f t="shared" si="3"/>
        <v>1043.04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32"/>
      <c r="B241" s="134"/>
      <c r="C241" s="132"/>
      <c r="D241" s="132"/>
      <c r="E241" s="132"/>
      <c r="F241" s="136"/>
      <c r="G241" s="103"/>
      <c r="H241" s="133">
        <f t="shared" si="3"/>
        <v>1043.04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32"/>
      <c r="B242" s="134"/>
      <c r="C242" s="132"/>
      <c r="D242" s="132"/>
      <c r="E242" s="132"/>
      <c r="F242" s="136"/>
      <c r="G242" s="103"/>
      <c r="H242" s="133">
        <f t="shared" si="3"/>
        <v>1043.04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32"/>
      <c r="B243" s="134"/>
      <c r="C243" s="132"/>
      <c r="D243" s="132"/>
      <c r="E243" s="132"/>
      <c r="F243" s="136"/>
      <c r="G243" s="103"/>
      <c r="H243" s="133">
        <f t="shared" si="3"/>
        <v>1043.04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39"/>
      <c r="B244" s="140"/>
      <c r="C244" s="132"/>
      <c r="D244" s="132"/>
      <c r="E244" s="132"/>
      <c r="F244" s="141"/>
      <c r="G244" s="142"/>
      <c r="H244" s="133">
        <f t="shared" si="3"/>
        <v>1043.04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39"/>
      <c r="B245" s="140"/>
      <c r="C245" s="132"/>
      <c r="D245" s="139"/>
      <c r="E245" s="132"/>
      <c r="F245" s="141"/>
      <c r="G245" s="142"/>
      <c r="H245" s="133">
        <f t="shared" si="3"/>
        <v>1043.04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43"/>
      <c r="B246" s="140"/>
      <c r="C246" s="132"/>
      <c r="D246" s="139"/>
      <c r="E246" s="132"/>
      <c r="F246" s="141"/>
      <c r="G246" s="142"/>
      <c r="H246" s="133">
        <f t="shared" si="3"/>
        <v>1043.04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43"/>
      <c r="B247" s="140"/>
      <c r="C247" s="132"/>
      <c r="D247" s="139"/>
      <c r="E247" s="132"/>
      <c r="F247" s="141"/>
      <c r="G247" s="142"/>
      <c r="H247" s="133">
        <f t="shared" si="3"/>
        <v>1043.04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39"/>
      <c r="B248" s="140"/>
      <c r="C248" s="132"/>
      <c r="D248" s="139"/>
      <c r="E248" s="132"/>
      <c r="F248" s="141"/>
      <c r="G248" s="142"/>
      <c r="H248" s="133">
        <f t="shared" si="3"/>
        <v>1043.04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43"/>
      <c r="B249" s="140"/>
      <c r="C249" s="132"/>
      <c r="D249" s="139"/>
      <c r="E249" s="132"/>
      <c r="F249" s="141"/>
      <c r="G249" s="142"/>
      <c r="H249" s="133">
        <f t="shared" si="3"/>
        <v>1043.04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39"/>
      <c r="B250" s="140"/>
      <c r="C250" s="132"/>
      <c r="D250" s="139"/>
      <c r="E250" s="132"/>
      <c r="F250" s="141"/>
      <c r="G250" s="142"/>
      <c r="H250" s="133">
        <f t="shared" si="3"/>
        <v>1043.04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43"/>
      <c r="B251" s="140"/>
      <c r="C251" s="132"/>
      <c r="D251" s="139"/>
      <c r="E251" s="132"/>
      <c r="F251" s="141"/>
      <c r="G251" s="142"/>
      <c r="H251" s="133">
        <f t="shared" si="3"/>
        <v>1043.04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43"/>
      <c r="B252" s="140"/>
      <c r="C252" s="132"/>
      <c r="D252" s="139"/>
      <c r="E252" s="132"/>
      <c r="F252" s="141"/>
      <c r="G252" s="142"/>
      <c r="H252" s="133">
        <f t="shared" si="3"/>
        <v>1043.04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39"/>
      <c r="B253" s="140"/>
      <c r="C253" s="132"/>
      <c r="D253" s="139"/>
      <c r="E253" s="132"/>
      <c r="F253" s="144"/>
      <c r="G253" s="142"/>
      <c r="H253" s="133">
        <f t="shared" si="3"/>
        <v>1043.04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39"/>
      <c r="B254" s="140"/>
      <c r="C254" s="132"/>
      <c r="D254" s="139"/>
      <c r="E254" s="132"/>
      <c r="F254" s="144"/>
      <c r="G254" s="142"/>
      <c r="H254" s="133">
        <f t="shared" si="3"/>
        <v>1043.04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39"/>
      <c r="B255" s="140"/>
      <c r="C255" s="132"/>
      <c r="D255" s="139"/>
      <c r="E255" s="132"/>
      <c r="F255" s="141"/>
      <c r="G255" s="142"/>
      <c r="H255" s="133">
        <f t="shared" si="3"/>
        <v>1043.04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43"/>
      <c r="B256" s="140"/>
      <c r="C256" s="132"/>
      <c r="D256" s="139"/>
      <c r="E256" s="132"/>
      <c r="F256" s="144"/>
      <c r="G256" s="142"/>
      <c r="H256" s="133">
        <f t="shared" si="3"/>
        <v>1043.04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43"/>
      <c r="B257" s="140"/>
      <c r="C257" s="132"/>
      <c r="D257" s="139"/>
      <c r="E257" s="132"/>
      <c r="F257" s="141"/>
      <c r="G257" s="142"/>
      <c r="H257" s="133">
        <f t="shared" si="3"/>
        <v>1043.04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43"/>
      <c r="B258" s="140"/>
      <c r="C258" s="132"/>
      <c r="D258" s="139"/>
      <c r="E258" s="132"/>
      <c r="F258" s="144"/>
      <c r="G258" s="142"/>
      <c r="H258" s="133">
        <f t="shared" si="3"/>
        <v>1043.04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39"/>
      <c r="B259" s="140"/>
      <c r="C259" s="132"/>
      <c r="D259" s="139"/>
      <c r="E259" s="132"/>
      <c r="F259" s="141"/>
      <c r="G259" s="142"/>
      <c r="H259" s="133">
        <f t="shared" si="3"/>
        <v>1043.04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39"/>
      <c r="B260" s="140"/>
      <c r="C260" s="132"/>
      <c r="D260" s="139"/>
      <c r="E260" s="132"/>
      <c r="F260" s="141"/>
      <c r="G260" s="142"/>
      <c r="H260" s="133">
        <f t="shared" si="3"/>
        <v>1043.04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39"/>
      <c r="B261" s="140"/>
      <c r="C261" s="132"/>
      <c r="D261" s="139"/>
      <c r="E261" s="132"/>
      <c r="F261" s="141"/>
      <c r="G261" s="142"/>
      <c r="H261" s="133">
        <f t="shared" si="3"/>
        <v>1043.04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39"/>
      <c r="B262" s="140"/>
      <c r="C262" s="132"/>
      <c r="D262" s="139"/>
      <c r="E262" s="132"/>
      <c r="F262" s="144"/>
      <c r="G262" s="142"/>
      <c r="H262" s="133">
        <f t="shared" si="3"/>
        <v>1043.04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39"/>
      <c r="B263" s="140"/>
      <c r="C263" s="132"/>
      <c r="D263" s="139"/>
      <c r="E263" s="132"/>
      <c r="F263" s="141"/>
      <c r="G263" s="142"/>
      <c r="H263" s="133">
        <f t="shared" si="3"/>
        <v>1043.04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39"/>
      <c r="B264" s="140"/>
      <c r="C264" s="132"/>
      <c r="D264" s="139"/>
      <c r="E264" s="132"/>
      <c r="F264" s="141"/>
      <c r="G264" s="142"/>
      <c r="H264" s="133">
        <f t="shared" si="3"/>
        <v>1043.04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39"/>
      <c r="B265" s="140"/>
      <c r="C265" s="132"/>
      <c r="D265" s="139"/>
      <c r="E265" s="132"/>
      <c r="F265" s="141"/>
      <c r="G265" s="142"/>
      <c r="H265" s="133">
        <f t="shared" si="3"/>
        <v>1043.04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39"/>
      <c r="B266" s="140"/>
      <c r="C266" s="132"/>
      <c r="D266" s="139"/>
      <c r="E266" s="132"/>
      <c r="F266" s="141"/>
      <c r="G266" s="142"/>
      <c r="H266" s="133">
        <f t="shared" si="3"/>
        <v>1043.04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39"/>
      <c r="B267" s="140"/>
      <c r="C267" s="132"/>
      <c r="D267" s="139"/>
      <c r="E267" s="132"/>
      <c r="F267" s="141"/>
      <c r="G267" s="142"/>
      <c r="H267" s="133">
        <f t="shared" si="3"/>
        <v>1043.04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45"/>
      <c r="B268" s="140"/>
      <c r="C268" s="132"/>
      <c r="D268" s="139"/>
      <c r="E268" s="132"/>
      <c r="F268" s="141"/>
      <c r="G268" s="142"/>
      <c r="H268" s="133">
        <f t="shared" si="3"/>
        <v>1043.04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45"/>
      <c r="B269" s="140"/>
      <c r="C269" s="132"/>
      <c r="D269" s="139"/>
      <c r="E269" s="132"/>
      <c r="F269" s="144"/>
      <c r="G269" s="142"/>
      <c r="H269" s="133">
        <f t="shared" si="3"/>
        <v>1043.04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39"/>
      <c r="B270" s="140"/>
      <c r="C270" s="132"/>
      <c r="D270" s="139"/>
      <c r="E270" s="132"/>
      <c r="F270" s="144"/>
      <c r="G270" s="142"/>
      <c r="H270" s="133">
        <f t="shared" si="3"/>
        <v>1043.04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39"/>
      <c r="B271" s="140"/>
      <c r="C271" s="132"/>
      <c r="D271" s="139"/>
      <c r="E271" s="132"/>
      <c r="F271" s="144"/>
      <c r="G271" s="142"/>
      <c r="H271" s="133">
        <f t="shared" si="3"/>
        <v>1043.04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39"/>
      <c r="B272" s="140"/>
      <c r="C272" s="132"/>
      <c r="D272" s="139"/>
      <c r="E272" s="132"/>
      <c r="F272" s="146"/>
      <c r="G272" s="142"/>
      <c r="H272" s="133">
        <f t="shared" si="3"/>
        <v>1043.04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39"/>
      <c r="B273" s="140"/>
      <c r="C273" s="132"/>
      <c r="D273" s="147"/>
      <c r="E273" s="132"/>
      <c r="F273" s="146"/>
      <c r="G273" s="142"/>
      <c r="H273" s="133">
        <f t="shared" si="3"/>
        <v>1043.04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39"/>
      <c r="B274" s="140"/>
      <c r="C274" s="132"/>
      <c r="D274" s="147"/>
      <c r="E274" s="132"/>
      <c r="F274" s="146"/>
      <c r="G274" s="142"/>
      <c r="H274" s="133">
        <f t="shared" si="3"/>
        <v>1043.04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39"/>
      <c r="B275" s="140"/>
      <c r="C275" s="132"/>
      <c r="D275" s="139"/>
      <c r="E275" s="132"/>
      <c r="F275" s="146"/>
      <c r="G275" s="142"/>
      <c r="H275" s="133">
        <f t="shared" si="3"/>
        <v>1043.04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48"/>
      <c r="B276" s="140"/>
      <c r="C276" s="132"/>
      <c r="D276" s="139"/>
      <c r="E276" s="132"/>
      <c r="F276" s="141"/>
      <c r="G276" s="142"/>
      <c r="H276" s="133">
        <f t="shared" si="3"/>
        <v>1043.04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39"/>
      <c r="B277" s="140"/>
      <c r="C277" s="132"/>
      <c r="D277" s="139"/>
      <c r="E277" s="132"/>
      <c r="F277" s="141"/>
      <c r="G277" s="142"/>
      <c r="H277" s="133">
        <f t="shared" si="3"/>
        <v>1043.04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39"/>
      <c r="B278" s="140"/>
      <c r="C278" s="132"/>
      <c r="D278" s="139"/>
      <c r="E278" s="132"/>
      <c r="F278" s="141"/>
      <c r="G278" s="142"/>
      <c r="H278" s="133">
        <f t="shared" si="3"/>
        <v>1043.04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48"/>
      <c r="B279" s="140"/>
      <c r="C279" s="132"/>
      <c r="D279" s="139"/>
      <c r="E279" s="132"/>
      <c r="F279" s="141"/>
      <c r="G279" s="142"/>
      <c r="H279" s="133">
        <f t="shared" si="3"/>
        <v>1043.04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39"/>
      <c r="B280" s="140"/>
      <c r="C280" s="132"/>
      <c r="D280" s="139"/>
      <c r="E280" s="132"/>
      <c r="F280" s="141"/>
      <c r="G280" s="142"/>
      <c r="H280" s="133">
        <f t="shared" si="3"/>
        <v>1043.04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45"/>
      <c r="B281" s="140"/>
      <c r="C281" s="132"/>
      <c r="D281" s="139"/>
      <c r="E281" s="132"/>
      <c r="F281" s="141"/>
      <c r="G281" s="142"/>
      <c r="H281" s="133">
        <f t="shared" si="3"/>
        <v>1043.04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45"/>
      <c r="B282" s="140"/>
      <c r="C282" s="132"/>
      <c r="D282" s="139"/>
      <c r="E282" s="132"/>
      <c r="F282" s="141"/>
      <c r="G282" s="142"/>
      <c r="H282" s="133">
        <f t="shared" si="3"/>
        <v>1043.04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45"/>
      <c r="B283" s="140"/>
      <c r="C283" s="132"/>
      <c r="D283" s="139"/>
      <c r="E283" s="132"/>
      <c r="F283" s="141"/>
      <c r="G283" s="142"/>
      <c r="H283" s="133">
        <f t="shared" si="3"/>
        <v>1043.04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45"/>
      <c r="B284" s="140"/>
      <c r="C284" s="132"/>
      <c r="D284" s="139"/>
      <c r="E284" s="132"/>
      <c r="F284" s="141"/>
      <c r="G284" s="142"/>
      <c r="H284" s="133">
        <f t="shared" si="3"/>
        <v>1043.04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39"/>
      <c r="B285" s="140"/>
      <c r="C285" s="132"/>
      <c r="D285" s="139"/>
      <c r="E285" s="132"/>
      <c r="F285" s="149"/>
      <c r="G285" s="142"/>
      <c r="H285" s="133">
        <f t="shared" si="3"/>
        <v>1043.04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39"/>
      <c r="B286" s="140"/>
      <c r="C286" s="132"/>
      <c r="D286" s="139"/>
      <c r="E286" s="132"/>
      <c r="F286" s="144"/>
      <c r="G286" s="150"/>
      <c r="H286" s="133">
        <f t="shared" si="3"/>
        <v>1043.04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39"/>
      <c r="B287" s="140"/>
      <c r="C287" s="132"/>
      <c r="D287" s="139"/>
      <c r="E287" s="94" t="s">
        <v>93</v>
      </c>
      <c r="F287" s="149"/>
      <c r="G287" s="142"/>
      <c r="H287" s="133">
        <f t="shared" si="3"/>
        <v>1043.04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39"/>
      <c r="B288" s="140"/>
      <c r="C288" s="132"/>
      <c r="D288" s="139"/>
      <c r="E288" s="94" t="s">
        <v>93</v>
      </c>
      <c r="F288" s="144"/>
      <c r="G288" s="150"/>
      <c r="H288" s="133">
        <f t="shared" si="3"/>
        <v>1043.04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39"/>
      <c r="B289" s="140"/>
      <c r="C289" s="132"/>
      <c r="D289" s="139"/>
      <c r="E289" s="94" t="s">
        <v>93</v>
      </c>
      <c r="F289" s="149"/>
      <c r="G289" s="142"/>
      <c r="H289" s="133">
        <f t="shared" si="3"/>
        <v>1043.04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39"/>
      <c r="B290" s="140"/>
      <c r="C290" s="132"/>
      <c r="D290" s="139"/>
      <c r="E290" s="94" t="s">
        <v>93</v>
      </c>
      <c r="F290" s="144"/>
      <c r="G290" s="150"/>
      <c r="H290" s="133">
        <f t="shared" si="3"/>
        <v>1043.04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39"/>
      <c r="B291" s="140"/>
      <c r="C291" s="132"/>
      <c r="D291" s="139"/>
      <c r="E291" s="94" t="s">
        <v>93</v>
      </c>
      <c r="F291" s="144"/>
      <c r="G291" s="150"/>
      <c r="H291" s="133">
        <f t="shared" si="3"/>
        <v>1043.04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45"/>
      <c r="B292" s="140"/>
      <c r="C292" s="132"/>
      <c r="D292" s="139"/>
      <c r="E292" s="94" t="s">
        <v>93</v>
      </c>
      <c r="F292" s="144"/>
      <c r="G292" s="150"/>
      <c r="H292" s="133">
        <f t="shared" si="3"/>
        <v>1043.04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39"/>
      <c r="B293" s="140"/>
      <c r="C293" s="132"/>
      <c r="D293" s="139"/>
      <c r="E293" s="94" t="s">
        <v>93</v>
      </c>
      <c r="F293" s="144"/>
      <c r="G293" s="150"/>
      <c r="H293" s="133">
        <f t="shared" si="3"/>
        <v>1043.04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39"/>
      <c r="B294" s="140"/>
      <c r="C294" s="132"/>
      <c r="D294" s="139"/>
      <c r="E294" s="94" t="s">
        <v>93</v>
      </c>
      <c r="F294" s="149"/>
      <c r="G294" s="150"/>
      <c r="H294" s="133">
        <f t="shared" si="3"/>
        <v>1043.04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39"/>
      <c r="B295" s="140"/>
      <c r="C295" s="132"/>
      <c r="D295" s="139"/>
      <c r="E295" s="94" t="s">
        <v>93</v>
      </c>
      <c r="F295" s="144"/>
      <c r="G295" s="150"/>
      <c r="H295" s="133">
        <f t="shared" si="3"/>
        <v>1043.04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39"/>
      <c r="B296" s="140"/>
      <c r="C296" s="132"/>
      <c r="D296" s="139"/>
      <c r="E296" s="94" t="s">
        <v>93</v>
      </c>
      <c r="F296" s="144"/>
      <c r="G296" s="150"/>
      <c r="H296" s="133">
        <f t="shared" si="3"/>
        <v>1043.04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45"/>
      <c r="B297" s="140"/>
      <c r="C297" s="132"/>
      <c r="D297" s="139"/>
      <c r="E297" s="94" t="s">
        <v>93</v>
      </c>
      <c r="F297" s="149"/>
      <c r="G297" s="142"/>
      <c r="H297" s="133">
        <f t="shared" si="3"/>
        <v>1043.04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39"/>
      <c r="B298" s="140"/>
      <c r="C298" s="132"/>
      <c r="D298" s="139"/>
      <c r="E298" s="94" t="s">
        <v>93</v>
      </c>
      <c r="F298" s="144"/>
      <c r="G298" s="150"/>
      <c r="H298" s="133">
        <f t="shared" si="3"/>
        <v>1043.04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39"/>
      <c r="B299" s="140"/>
      <c r="C299" s="132"/>
      <c r="D299" s="139"/>
      <c r="E299" s="94" t="s">
        <v>93</v>
      </c>
      <c r="F299" s="149"/>
      <c r="G299" s="142"/>
      <c r="H299" s="133">
        <f t="shared" si="3"/>
        <v>1043.04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39"/>
      <c r="B300" s="140"/>
      <c r="C300" s="132"/>
      <c r="D300" s="139"/>
      <c r="E300" s="94" t="s">
        <v>93</v>
      </c>
      <c r="F300" s="149"/>
      <c r="G300" s="142"/>
      <c r="H300" s="133">
        <f t="shared" si="3"/>
        <v>1043.04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39"/>
      <c r="B301" s="140"/>
      <c r="C301" s="132"/>
      <c r="D301" s="139"/>
      <c r="E301" s="94" t="s">
        <v>93</v>
      </c>
      <c r="F301" s="149"/>
      <c r="G301" s="142"/>
      <c r="H301" s="133">
        <f t="shared" si="3"/>
        <v>1043.04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39"/>
      <c r="B302" s="140"/>
      <c r="C302" s="132"/>
      <c r="D302" s="139"/>
      <c r="E302" s="94" t="s">
        <v>93</v>
      </c>
      <c r="F302" s="149"/>
      <c r="G302" s="142"/>
      <c r="H302" s="133">
        <f t="shared" si="3"/>
        <v>1043.04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39"/>
      <c r="B303" s="140"/>
      <c r="C303" s="132"/>
      <c r="D303" s="139"/>
      <c r="E303" s="94" t="s">
        <v>93</v>
      </c>
      <c r="F303" s="149"/>
      <c r="G303" s="142"/>
      <c r="H303" s="133">
        <f t="shared" si="3"/>
        <v>1043.04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39"/>
      <c r="B304" s="140"/>
      <c r="C304" s="132"/>
      <c r="D304" s="139"/>
      <c r="E304" s="94" t="s">
        <v>93</v>
      </c>
      <c r="F304" s="149"/>
      <c r="G304" s="142"/>
      <c r="H304" s="133">
        <f t="shared" si="3"/>
        <v>1043.04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39"/>
      <c r="B305" s="140"/>
      <c r="C305" s="132"/>
      <c r="D305" s="139"/>
      <c r="E305" s="94" t="s">
        <v>93</v>
      </c>
      <c r="F305" s="149"/>
      <c r="G305" s="142"/>
      <c r="H305" s="133">
        <f t="shared" si="3"/>
        <v>1043.04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39"/>
      <c r="B306" s="140"/>
      <c r="C306" s="132"/>
      <c r="D306" s="139"/>
      <c r="E306" s="94" t="s">
        <v>93</v>
      </c>
      <c r="F306" s="149"/>
      <c r="G306" s="142"/>
      <c r="H306" s="133">
        <f t="shared" si="3"/>
        <v>1043.04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39"/>
      <c r="B307" s="140"/>
      <c r="C307" s="132"/>
      <c r="D307" s="139"/>
      <c r="E307" s="94" t="s">
        <v>93</v>
      </c>
      <c r="F307" s="149"/>
      <c r="G307" s="150"/>
      <c r="H307" s="133">
        <f t="shared" si="3"/>
        <v>1043.04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39"/>
      <c r="B308" s="140"/>
      <c r="C308" s="132"/>
      <c r="D308" s="139"/>
      <c r="E308" s="94" t="s">
        <v>93</v>
      </c>
      <c r="F308" s="149"/>
      <c r="G308" s="150"/>
      <c r="H308" s="133">
        <f t="shared" si="3"/>
        <v>1043.04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39"/>
      <c r="B309" s="140"/>
      <c r="C309" s="132"/>
      <c r="D309" s="139"/>
      <c r="E309" s="94" t="s">
        <v>93</v>
      </c>
      <c r="F309" s="149"/>
      <c r="G309" s="150"/>
      <c r="H309" s="133">
        <f t="shared" si="3"/>
        <v>1043.04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39"/>
      <c r="B310" s="140"/>
      <c r="C310" s="132"/>
      <c r="D310" s="139"/>
      <c r="E310" s="94" t="s">
        <v>93</v>
      </c>
      <c r="F310" s="149"/>
      <c r="G310" s="150"/>
      <c r="H310" s="133">
        <f t="shared" si="3"/>
        <v>1043.04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39"/>
      <c r="B311" s="140"/>
      <c r="C311" s="132"/>
      <c r="D311" s="139"/>
      <c r="E311" s="94" t="s">
        <v>93</v>
      </c>
      <c r="F311" s="144"/>
      <c r="G311" s="150"/>
      <c r="H311" s="133">
        <f t="shared" si="3"/>
        <v>1043.04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39"/>
      <c r="B312" s="140"/>
      <c r="C312" s="132"/>
      <c r="D312" s="139"/>
      <c r="E312" s="94" t="s">
        <v>93</v>
      </c>
      <c r="F312" s="144"/>
      <c r="G312" s="150"/>
      <c r="H312" s="133">
        <f t="shared" si="3"/>
        <v>1043.04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39"/>
      <c r="B313" s="140"/>
      <c r="C313" s="132"/>
      <c r="D313" s="139"/>
      <c r="E313" s="132"/>
      <c r="F313" s="144"/>
      <c r="G313" s="150"/>
      <c r="H313" s="133">
        <f t="shared" si="3"/>
        <v>1043.04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39"/>
      <c r="B314" s="140"/>
      <c r="C314" s="132"/>
      <c r="D314" s="139"/>
      <c r="E314" s="132"/>
      <c r="F314" s="144"/>
      <c r="G314" s="150"/>
      <c r="H314" s="133">
        <f t="shared" si="3"/>
        <v>1043.04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45"/>
      <c r="B315" s="140"/>
      <c r="C315" s="132"/>
      <c r="D315" s="139"/>
      <c r="E315" s="132"/>
      <c r="F315" s="144"/>
      <c r="G315" s="150"/>
      <c r="H315" s="133">
        <f t="shared" si="3"/>
        <v>1043.04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45"/>
      <c r="B316" s="140"/>
      <c r="C316" s="132"/>
      <c r="D316" s="139"/>
      <c r="E316" s="132"/>
      <c r="F316" s="144"/>
      <c r="G316" s="150"/>
      <c r="H316" s="133">
        <f t="shared" si="3"/>
        <v>1043.04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45"/>
      <c r="B317" s="140"/>
      <c r="C317" s="132"/>
      <c r="D317" s="139"/>
      <c r="E317" s="132"/>
      <c r="F317" s="144"/>
      <c r="G317" s="150"/>
      <c r="H317" s="133">
        <f t="shared" si="3"/>
        <v>1043.04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45"/>
      <c r="B318" s="140"/>
      <c r="C318" s="132"/>
      <c r="D318" s="139"/>
      <c r="E318" s="132"/>
      <c r="F318" s="144"/>
      <c r="G318" s="150"/>
      <c r="H318" s="133">
        <f t="shared" si="3"/>
        <v>1043.04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39"/>
      <c r="B319" s="140"/>
      <c r="C319" s="132"/>
      <c r="D319" s="139"/>
      <c r="E319" s="132"/>
      <c r="F319" s="144"/>
      <c r="G319" s="142"/>
      <c r="H319" s="133">
        <f t="shared" si="3"/>
        <v>1043.04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39"/>
      <c r="B320" s="140"/>
      <c r="C320" s="132"/>
      <c r="D320" s="139"/>
      <c r="E320" s="132"/>
      <c r="F320" s="144"/>
      <c r="G320" s="142"/>
      <c r="H320" s="133">
        <f t="shared" si="3"/>
        <v>1043.04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39"/>
      <c r="B321" s="140"/>
      <c r="C321" s="132"/>
      <c r="D321" s="139"/>
      <c r="E321" s="132"/>
      <c r="F321" s="144"/>
      <c r="G321" s="142"/>
      <c r="H321" s="133">
        <f t="shared" si="3"/>
        <v>1043.04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39"/>
      <c r="B322" s="140"/>
      <c r="C322" s="132"/>
      <c r="D322" s="139"/>
      <c r="E322" s="132"/>
      <c r="F322" s="144"/>
      <c r="G322" s="142"/>
      <c r="H322" s="133">
        <f t="shared" si="3"/>
        <v>1043.04</v>
      </c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39"/>
      <c r="B323" s="140"/>
      <c r="C323" s="132"/>
      <c r="D323" s="139"/>
      <c r="E323" s="132"/>
      <c r="F323" s="144"/>
      <c r="G323" s="142"/>
      <c r="H323" s="133">
        <f t="shared" si="3"/>
        <v>1043.04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39"/>
      <c r="B324" s="140"/>
      <c r="C324" s="132"/>
      <c r="D324" s="139"/>
      <c r="E324" s="132"/>
      <c r="F324" s="144"/>
      <c r="G324" s="142"/>
      <c r="H324" s="133">
        <f t="shared" si="3"/>
        <v>1043.04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39"/>
      <c r="B325" s="140"/>
      <c r="C325" s="132"/>
      <c r="D325" s="139"/>
      <c r="E325" s="132"/>
      <c r="F325" s="144"/>
      <c r="G325" s="142"/>
      <c r="H325" s="133">
        <f t="shared" si="3"/>
        <v>1043.04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39"/>
      <c r="B326" s="140"/>
      <c r="C326" s="132"/>
      <c r="D326" s="139"/>
      <c r="E326" s="132"/>
      <c r="F326" s="144"/>
      <c r="G326" s="142"/>
      <c r="H326" s="139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39"/>
      <c r="B327" s="140"/>
      <c r="C327" s="132"/>
      <c r="D327" s="139"/>
      <c r="E327" s="132"/>
      <c r="F327" s="144"/>
      <c r="G327" s="142"/>
      <c r="H327" s="139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39"/>
      <c r="B328" s="140"/>
      <c r="C328" s="132"/>
      <c r="D328" s="139"/>
      <c r="E328" s="132"/>
      <c r="F328" s="144"/>
      <c r="G328" s="142"/>
      <c r="H328" s="139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31"/>
      <c r="C329" s="151"/>
      <c r="D329" s="5"/>
      <c r="E329" s="5"/>
      <c r="F329" s="152"/>
      <c r="G329" s="153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31"/>
      <c r="C330" s="5"/>
      <c r="D330" s="5"/>
      <c r="E330" s="5"/>
      <c r="F330" s="152"/>
      <c r="G330" s="153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31"/>
      <c r="C331" s="5"/>
      <c r="D331" s="5"/>
      <c r="E331" s="5"/>
      <c r="F331" s="152"/>
      <c r="G331" s="15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31"/>
      <c r="C332" s="5"/>
      <c r="D332" s="5"/>
      <c r="E332" s="5"/>
      <c r="F332" s="152"/>
      <c r="G332" s="153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31"/>
      <c r="C333" s="5"/>
      <c r="D333" s="5"/>
      <c r="E333" s="5"/>
      <c r="F333" s="152"/>
      <c r="G333" s="153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31"/>
      <c r="C334" s="5"/>
      <c r="D334" s="5"/>
      <c r="E334" s="5"/>
      <c r="F334" s="152"/>
      <c r="G334" s="153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31"/>
      <c r="C335" s="5"/>
      <c r="D335" s="5"/>
      <c r="E335" s="5"/>
      <c r="F335" s="152"/>
      <c r="G335" s="153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31"/>
      <c r="C336" s="5"/>
      <c r="D336" s="5"/>
      <c r="E336" s="5"/>
      <c r="F336" s="152"/>
      <c r="G336" s="153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31"/>
      <c r="C337" s="5"/>
      <c r="D337" s="5"/>
      <c r="E337" s="5"/>
      <c r="F337" s="152"/>
      <c r="G337" s="153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31"/>
      <c r="C338" s="5"/>
      <c r="D338" s="5"/>
      <c r="E338" s="5"/>
      <c r="F338" s="152"/>
      <c r="G338" s="153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31"/>
      <c r="C339" s="5"/>
      <c r="D339" s="5"/>
      <c r="E339" s="5"/>
      <c r="F339" s="152"/>
      <c r="G339" s="153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31"/>
      <c r="C340" s="5"/>
      <c r="D340" s="5"/>
      <c r="E340" s="5"/>
      <c r="F340" s="152"/>
      <c r="G340" s="153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31"/>
      <c r="C341" s="5"/>
      <c r="D341" s="5"/>
      <c r="E341" s="5"/>
      <c r="F341" s="152"/>
      <c r="G341" s="153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31"/>
      <c r="C342" s="5"/>
      <c r="D342" s="5"/>
      <c r="E342" s="5"/>
      <c r="F342" s="152"/>
      <c r="G342" s="15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31"/>
      <c r="C343" s="5"/>
      <c r="D343" s="5"/>
      <c r="E343" s="5"/>
      <c r="F343" s="152"/>
      <c r="G343" s="153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31"/>
      <c r="C344" s="5"/>
      <c r="D344" s="5"/>
      <c r="E344" s="5"/>
      <c r="F344" s="152"/>
      <c r="G344" s="153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31"/>
      <c r="C345" s="5"/>
      <c r="D345" s="5"/>
      <c r="E345" s="5"/>
      <c r="F345" s="152"/>
      <c r="G345" s="153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31"/>
      <c r="C346" s="5"/>
      <c r="D346" s="5"/>
      <c r="E346" s="5"/>
      <c r="F346" s="152"/>
      <c r="G346" s="153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31"/>
      <c r="C347" s="5"/>
      <c r="D347" s="5"/>
      <c r="E347" s="5"/>
      <c r="F347" s="152"/>
      <c r="G347" s="153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31"/>
      <c r="C348" s="5"/>
      <c r="D348" s="5"/>
      <c r="E348" s="5"/>
      <c r="F348" s="152"/>
      <c r="G348" s="153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31"/>
      <c r="C349" s="5"/>
      <c r="D349" s="5"/>
      <c r="E349" s="5"/>
      <c r="F349" s="152"/>
      <c r="G349" s="153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31"/>
      <c r="C350" s="5"/>
      <c r="D350" s="5"/>
      <c r="E350" s="5"/>
      <c r="F350" s="152"/>
      <c r="G350" s="153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31"/>
      <c r="C351" s="5"/>
      <c r="D351" s="5"/>
      <c r="E351" s="5"/>
      <c r="F351" s="152"/>
      <c r="G351" s="153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31"/>
      <c r="C352" s="5"/>
      <c r="D352" s="5"/>
      <c r="E352" s="5"/>
      <c r="F352" s="152"/>
      <c r="G352" s="15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31"/>
      <c r="C353" s="5"/>
      <c r="D353" s="5"/>
      <c r="E353" s="5"/>
      <c r="F353" s="152"/>
      <c r="G353" s="153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31"/>
      <c r="C354" s="5"/>
      <c r="D354" s="5"/>
      <c r="E354" s="5"/>
      <c r="F354" s="152"/>
      <c r="G354" s="153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31"/>
      <c r="C355" s="5"/>
      <c r="D355" s="5"/>
      <c r="E355" s="5"/>
      <c r="F355" s="152"/>
      <c r="G355" s="153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31"/>
      <c r="C356" s="5"/>
      <c r="D356" s="5"/>
      <c r="E356" s="5"/>
      <c r="F356" s="152"/>
      <c r="G356" s="153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31"/>
      <c r="C357" s="5"/>
      <c r="D357" s="5"/>
      <c r="E357" s="5"/>
      <c r="F357" s="152"/>
      <c r="G357" s="153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31"/>
      <c r="C358" s="5"/>
      <c r="D358" s="5"/>
      <c r="E358" s="5"/>
      <c r="F358" s="152"/>
      <c r="G358" s="153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31"/>
      <c r="C359" s="5"/>
      <c r="D359" s="5"/>
      <c r="E359" s="5"/>
      <c r="F359" s="152"/>
      <c r="G359" s="153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31"/>
      <c r="C360" s="5"/>
      <c r="D360" s="5"/>
      <c r="E360" s="5"/>
      <c r="F360" s="152"/>
      <c r="G360" s="153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31"/>
      <c r="C361" s="5"/>
      <c r="D361" s="5"/>
      <c r="E361" s="5"/>
      <c r="F361" s="152"/>
      <c r="G361" s="153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31"/>
      <c r="C362" s="5"/>
      <c r="D362" s="5"/>
      <c r="E362" s="5"/>
      <c r="F362" s="152"/>
      <c r="G362" s="153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31"/>
      <c r="C363" s="5"/>
      <c r="D363" s="5"/>
      <c r="E363" s="5"/>
      <c r="F363" s="152"/>
      <c r="G363" s="15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31"/>
      <c r="C364" s="5"/>
      <c r="D364" s="5"/>
      <c r="E364" s="5"/>
      <c r="F364" s="152"/>
      <c r="G364" s="153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31"/>
      <c r="C365" s="5"/>
      <c r="D365" s="5"/>
      <c r="E365" s="5"/>
      <c r="F365" s="152"/>
      <c r="G365" s="153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31"/>
      <c r="C366" s="5"/>
      <c r="D366" s="5"/>
      <c r="E366" s="5"/>
      <c r="F366" s="152"/>
      <c r="G366" s="153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31"/>
      <c r="C367" s="5"/>
      <c r="D367" s="5"/>
      <c r="E367" s="5"/>
      <c r="F367" s="152"/>
      <c r="G367" s="153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31"/>
      <c r="C368" s="5"/>
      <c r="D368" s="5"/>
      <c r="E368" s="5"/>
      <c r="F368" s="152"/>
      <c r="G368" s="153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31"/>
      <c r="C369" s="5"/>
      <c r="D369" s="5"/>
      <c r="E369" s="5"/>
      <c r="F369" s="152"/>
      <c r="G369" s="153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31"/>
      <c r="C370" s="5"/>
      <c r="D370" s="5"/>
      <c r="E370" s="5"/>
      <c r="F370" s="152"/>
      <c r="G370" s="153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31"/>
      <c r="C371" s="5"/>
      <c r="D371" s="5"/>
      <c r="E371" s="5"/>
      <c r="F371" s="152"/>
      <c r="G371" s="153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31"/>
      <c r="C372" s="5"/>
      <c r="D372" s="5"/>
      <c r="E372" s="5"/>
      <c r="F372" s="152"/>
      <c r="G372" s="153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31"/>
      <c r="C373" s="5"/>
      <c r="D373" s="5"/>
      <c r="E373" s="5"/>
      <c r="F373" s="152"/>
      <c r="G373" s="15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31"/>
      <c r="C374" s="5"/>
      <c r="D374" s="5"/>
      <c r="E374" s="5"/>
      <c r="F374" s="152"/>
      <c r="G374" s="153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31"/>
      <c r="C375" s="5"/>
      <c r="D375" s="5"/>
      <c r="E375" s="5"/>
      <c r="F375" s="152"/>
      <c r="G375" s="153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31"/>
      <c r="C376" s="5"/>
      <c r="D376" s="5"/>
      <c r="E376" s="5"/>
      <c r="F376" s="152"/>
      <c r="G376" s="153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31"/>
      <c r="C377" s="5"/>
      <c r="D377" s="5"/>
      <c r="E377" s="5"/>
      <c r="F377" s="152"/>
      <c r="G377" s="153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31"/>
      <c r="C378" s="5"/>
      <c r="D378" s="5"/>
      <c r="E378" s="5"/>
      <c r="F378" s="152"/>
      <c r="G378" s="153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31"/>
      <c r="C379" s="5"/>
      <c r="D379" s="5"/>
      <c r="E379" s="5"/>
      <c r="F379" s="152"/>
      <c r="G379" s="153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31"/>
      <c r="C380" s="5"/>
      <c r="D380" s="5"/>
      <c r="E380" s="5"/>
      <c r="F380" s="152"/>
      <c r="G380" s="153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31"/>
      <c r="C381" s="5"/>
      <c r="D381" s="5"/>
      <c r="E381" s="5"/>
      <c r="F381" s="152"/>
      <c r="G381" s="153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31"/>
      <c r="C382" s="5"/>
      <c r="D382" s="5"/>
      <c r="E382" s="5"/>
      <c r="F382" s="152"/>
      <c r="G382" s="153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31"/>
      <c r="C383" s="5"/>
      <c r="D383" s="5"/>
      <c r="E383" s="5"/>
      <c r="F383" s="152"/>
      <c r="G383" s="15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31"/>
      <c r="C384" s="5"/>
      <c r="D384" s="5"/>
      <c r="E384" s="5"/>
      <c r="F384" s="152"/>
      <c r="G384" s="153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31"/>
      <c r="C385" s="5"/>
      <c r="D385" s="5"/>
      <c r="E385" s="5"/>
      <c r="F385" s="152"/>
      <c r="G385" s="153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31"/>
      <c r="C386" s="5"/>
      <c r="D386" s="5"/>
      <c r="E386" s="5"/>
      <c r="F386" s="152"/>
      <c r="G386" s="153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31"/>
      <c r="C387" s="5"/>
      <c r="D387" s="5"/>
      <c r="E387" s="5"/>
      <c r="F387" s="152"/>
      <c r="G387" s="153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31"/>
      <c r="C388" s="5"/>
      <c r="D388" s="5"/>
      <c r="E388" s="5"/>
      <c r="F388" s="152"/>
      <c r="G388" s="153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31"/>
      <c r="C389" s="5"/>
      <c r="D389" s="5"/>
      <c r="E389" s="5"/>
      <c r="F389" s="152"/>
      <c r="G389" s="153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31"/>
      <c r="C390" s="5"/>
      <c r="D390" s="5"/>
      <c r="E390" s="5"/>
      <c r="F390" s="152"/>
      <c r="G390" s="153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31"/>
      <c r="C391" s="5"/>
      <c r="D391" s="5"/>
      <c r="E391" s="5"/>
      <c r="F391" s="152"/>
      <c r="G391" s="153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31"/>
      <c r="C392" s="5"/>
      <c r="D392" s="5"/>
      <c r="E392" s="5"/>
      <c r="F392" s="152"/>
      <c r="G392" s="153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31"/>
      <c r="C393" s="5"/>
      <c r="D393" s="5"/>
      <c r="E393" s="5"/>
      <c r="F393" s="152"/>
      <c r="G393" s="15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31"/>
      <c r="C394" s="5"/>
      <c r="D394" s="5"/>
      <c r="E394" s="5"/>
      <c r="F394" s="152"/>
      <c r="G394" s="153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31"/>
      <c r="C395" s="5"/>
      <c r="D395" s="5"/>
      <c r="E395" s="5"/>
      <c r="F395" s="152"/>
      <c r="G395" s="153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31"/>
      <c r="C396" s="5"/>
      <c r="D396" s="5"/>
      <c r="E396" s="5"/>
      <c r="F396" s="152"/>
      <c r="G396" s="153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31"/>
      <c r="C397" s="5"/>
      <c r="D397" s="5"/>
      <c r="E397" s="5"/>
      <c r="F397" s="152"/>
      <c r="G397" s="153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31"/>
      <c r="C398" s="5"/>
      <c r="D398" s="5"/>
      <c r="E398" s="5"/>
      <c r="F398" s="152"/>
      <c r="G398" s="153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31"/>
      <c r="C399" s="5"/>
      <c r="D399" s="5"/>
      <c r="E399" s="5"/>
      <c r="F399" s="152"/>
      <c r="G399" s="153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31"/>
      <c r="C400" s="5"/>
      <c r="D400" s="5"/>
      <c r="E400" s="5"/>
      <c r="F400" s="152"/>
      <c r="G400" s="153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31"/>
      <c r="C401" s="5"/>
      <c r="D401" s="5"/>
      <c r="E401" s="5"/>
      <c r="F401" s="152"/>
      <c r="G401" s="153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31"/>
      <c r="C402" s="5"/>
      <c r="D402" s="5"/>
      <c r="E402" s="5"/>
      <c r="F402" s="152"/>
      <c r="G402" s="153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31"/>
      <c r="C403" s="5"/>
      <c r="D403" s="5"/>
      <c r="E403" s="5"/>
      <c r="F403" s="152"/>
      <c r="G403" s="15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31"/>
      <c r="C404" s="5"/>
      <c r="D404" s="5"/>
      <c r="E404" s="5"/>
      <c r="F404" s="152"/>
      <c r="G404" s="153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31"/>
      <c r="C405" s="5"/>
      <c r="D405" s="5"/>
      <c r="E405" s="5"/>
      <c r="F405" s="152"/>
      <c r="G405" s="153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31"/>
      <c r="C406" s="5"/>
      <c r="D406" s="5"/>
      <c r="E406" s="5"/>
      <c r="F406" s="152"/>
      <c r="G406" s="153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31"/>
      <c r="C407" s="5"/>
      <c r="D407" s="5"/>
      <c r="E407" s="5"/>
      <c r="F407" s="152"/>
      <c r="G407" s="153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31"/>
      <c r="C408" s="5"/>
      <c r="D408" s="5"/>
      <c r="E408" s="5"/>
      <c r="F408" s="152"/>
      <c r="G408" s="153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31"/>
      <c r="C409" s="5"/>
      <c r="D409" s="5"/>
      <c r="E409" s="5"/>
      <c r="F409" s="152"/>
      <c r="G409" s="153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31"/>
      <c r="C410" s="5"/>
      <c r="D410" s="5"/>
      <c r="E410" s="5"/>
      <c r="F410" s="152"/>
      <c r="G410" s="153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31"/>
      <c r="C411" s="5"/>
      <c r="D411" s="5"/>
      <c r="E411" s="5"/>
      <c r="F411" s="152"/>
      <c r="G411" s="153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31"/>
      <c r="C412" s="5"/>
      <c r="D412" s="5"/>
      <c r="E412" s="5"/>
      <c r="F412" s="152"/>
      <c r="G412" s="153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31"/>
      <c r="C413" s="5"/>
      <c r="D413" s="5"/>
      <c r="E413" s="5"/>
      <c r="F413" s="152"/>
      <c r="G413" s="15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31"/>
      <c r="C414" s="5"/>
      <c r="D414" s="5"/>
      <c r="E414" s="5"/>
      <c r="F414" s="152"/>
      <c r="G414" s="153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31"/>
      <c r="C415" s="5"/>
      <c r="D415" s="5"/>
      <c r="E415" s="5"/>
      <c r="F415" s="152"/>
      <c r="G415" s="153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31"/>
      <c r="C416" s="5"/>
      <c r="D416" s="5"/>
      <c r="E416" s="5"/>
      <c r="F416" s="152"/>
      <c r="G416" s="153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31"/>
      <c r="C417" s="5"/>
      <c r="D417" s="5"/>
      <c r="E417" s="5"/>
      <c r="F417" s="152"/>
      <c r="G417" s="153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31"/>
      <c r="C418" s="5"/>
      <c r="D418" s="5"/>
      <c r="E418" s="5"/>
      <c r="F418" s="152"/>
      <c r="G418" s="153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31"/>
      <c r="C419" s="5"/>
      <c r="D419" s="5"/>
      <c r="E419" s="5"/>
      <c r="F419" s="152"/>
      <c r="G419" s="153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31"/>
      <c r="C420" s="5"/>
      <c r="D420" s="5"/>
      <c r="E420" s="5"/>
      <c r="F420" s="152"/>
      <c r="G420" s="153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31"/>
      <c r="C421" s="5"/>
      <c r="D421" s="5"/>
      <c r="E421" s="5"/>
      <c r="F421" s="152"/>
      <c r="G421" s="153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31"/>
      <c r="C422" s="5"/>
      <c r="D422" s="5"/>
      <c r="E422" s="5"/>
      <c r="F422" s="152"/>
      <c r="G422" s="153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31"/>
      <c r="C423" s="5"/>
      <c r="D423" s="5"/>
      <c r="E423" s="5"/>
      <c r="F423" s="152"/>
      <c r="G423" s="15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31"/>
      <c r="C424" s="5"/>
      <c r="D424" s="5"/>
      <c r="E424" s="5"/>
      <c r="F424" s="152"/>
      <c r="G424" s="153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31"/>
      <c r="C425" s="5"/>
      <c r="D425" s="5"/>
      <c r="E425" s="5"/>
      <c r="F425" s="152"/>
      <c r="G425" s="153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31"/>
      <c r="C426" s="5"/>
      <c r="D426" s="5"/>
      <c r="E426" s="5"/>
      <c r="F426" s="152"/>
      <c r="G426" s="153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31"/>
      <c r="C427" s="5"/>
      <c r="D427" s="5"/>
      <c r="E427" s="5"/>
      <c r="F427" s="152"/>
      <c r="G427" s="153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31"/>
      <c r="C428" s="5"/>
      <c r="D428" s="5"/>
      <c r="E428" s="5"/>
      <c r="F428" s="152"/>
      <c r="G428" s="153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31"/>
      <c r="C429" s="5"/>
      <c r="D429" s="5"/>
      <c r="E429" s="5"/>
      <c r="F429" s="152"/>
      <c r="G429" s="153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31"/>
      <c r="C430" s="5"/>
      <c r="D430" s="5"/>
      <c r="E430" s="5"/>
      <c r="F430" s="152"/>
      <c r="G430" s="153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31"/>
      <c r="C431" s="5"/>
      <c r="D431" s="5"/>
      <c r="E431" s="5"/>
      <c r="F431" s="152"/>
      <c r="G431" s="153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31"/>
      <c r="C432" s="5"/>
      <c r="D432" s="5"/>
      <c r="E432" s="5"/>
      <c r="F432" s="152"/>
      <c r="G432" s="153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31"/>
      <c r="C433" s="5"/>
      <c r="D433" s="5"/>
      <c r="E433" s="5"/>
      <c r="F433" s="152"/>
      <c r="G433" s="153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31"/>
      <c r="C434" s="5"/>
      <c r="D434" s="5"/>
      <c r="E434" s="5"/>
      <c r="F434" s="152"/>
      <c r="G434" s="15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31"/>
      <c r="C435" s="5"/>
      <c r="D435" s="5"/>
      <c r="E435" s="5"/>
      <c r="F435" s="152"/>
      <c r="G435" s="153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31"/>
      <c r="C436" s="5"/>
      <c r="D436" s="5"/>
      <c r="E436" s="5"/>
      <c r="F436" s="152"/>
      <c r="G436" s="153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31"/>
      <c r="C437" s="5"/>
      <c r="D437" s="5"/>
      <c r="E437" s="5"/>
      <c r="F437" s="152"/>
      <c r="G437" s="153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31"/>
      <c r="C438" s="5"/>
      <c r="D438" s="5"/>
      <c r="E438" s="5"/>
      <c r="F438" s="152"/>
      <c r="G438" s="153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31"/>
      <c r="C439" s="5"/>
      <c r="D439" s="5"/>
      <c r="E439" s="5"/>
      <c r="F439" s="152"/>
      <c r="G439" s="153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31"/>
      <c r="C440" s="5"/>
      <c r="D440" s="5"/>
      <c r="E440" s="5"/>
      <c r="F440" s="152"/>
      <c r="G440" s="153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31"/>
      <c r="C441" s="5"/>
      <c r="D441" s="5"/>
      <c r="E441" s="5"/>
      <c r="F441" s="152"/>
      <c r="G441" s="153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31"/>
      <c r="C442" s="5"/>
      <c r="D442" s="5"/>
      <c r="E442" s="5"/>
      <c r="F442" s="152"/>
      <c r="G442" s="153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31"/>
      <c r="C443" s="5"/>
      <c r="D443" s="5"/>
      <c r="E443" s="5"/>
      <c r="F443" s="152"/>
      <c r="G443" s="153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31"/>
      <c r="C444" s="5"/>
      <c r="D444" s="5"/>
      <c r="E444" s="5"/>
      <c r="F444" s="152"/>
      <c r="G444" s="15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31"/>
      <c r="C445" s="5"/>
      <c r="D445" s="5"/>
      <c r="E445" s="5"/>
      <c r="F445" s="152"/>
      <c r="G445" s="153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31"/>
      <c r="C446" s="5"/>
      <c r="D446" s="5"/>
      <c r="E446" s="5"/>
      <c r="F446" s="152"/>
      <c r="G446" s="153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31"/>
      <c r="C447" s="5"/>
      <c r="D447" s="5"/>
      <c r="E447" s="5"/>
      <c r="F447" s="152"/>
      <c r="G447" s="153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31"/>
      <c r="C448" s="5"/>
      <c r="D448" s="5"/>
      <c r="E448" s="5"/>
      <c r="F448" s="152"/>
      <c r="G448" s="153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31"/>
      <c r="C449" s="5"/>
      <c r="D449" s="5"/>
      <c r="E449" s="5"/>
      <c r="F449" s="152"/>
      <c r="G449" s="153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31"/>
      <c r="C450" s="5"/>
      <c r="D450" s="5"/>
      <c r="E450" s="5"/>
      <c r="F450" s="152"/>
      <c r="G450" s="153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31"/>
      <c r="C451" s="5"/>
      <c r="D451" s="5"/>
      <c r="E451" s="5"/>
      <c r="F451" s="152"/>
      <c r="G451" s="153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31"/>
      <c r="C452" s="5"/>
      <c r="D452" s="5"/>
      <c r="E452" s="5"/>
      <c r="F452" s="152"/>
      <c r="G452" s="153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31"/>
      <c r="C453" s="5"/>
      <c r="D453" s="5"/>
      <c r="E453" s="5"/>
      <c r="F453" s="152"/>
      <c r="G453" s="153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31"/>
      <c r="C454" s="5"/>
      <c r="D454" s="5"/>
      <c r="E454" s="5"/>
      <c r="F454" s="152"/>
      <c r="G454" s="15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31"/>
      <c r="C455" s="5"/>
      <c r="D455" s="5"/>
      <c r="E455" s="5"/>
      <c r="F455" s="152"/>
      <c r="G455" s="153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31"/>
      <c r="C456" s="5"/>
      <c r="D456" s="5"/>
      <c r="E456" s="5"/>
      <c r="F456" s="152"/>
      <c r="G456" s="153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31"/>
      <c r="C457" s="5"/>
      <c r="D457" s="5"/>
      <c r="E457" s="5"/>
      <c r="F457" s="152"/>
      <c r="G457" s="153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31"/>
      <c r="C458" s="5"/>
      <c r="D458" s="5"/>
      <c r="E458" s="5"/>
      <c r="F458" s="152"/>
      <c r="G458" s="153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31"/>
      <c r="C459" s="5"/>
      <c r="D459" s="5"/>
      <c r="E459" s="5"/>
      <c r="F459" s="152"/>
      <c r="G459" s="153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31"/>
      <c r="C460" s="5"/>
      <c r="D460" s="5"/>
      <c r="E460" s="5"/>
      <c r="F460" s="152"/>
      <c r="G460" s="153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31"/>
      <c r="C461" s="5"/>
      <c r="D461" s="5"/>
      <c r="E461" s="5"/>
      <c r="F461" s="152"/>
      <c r="G461" s="153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31"/>
      <c r="C462" s="5"/>
      <c r="D462" s="5"/>
      <c r="E462" s="5"/>
      <c r="F462" s="152"/>
      <c r="G462" s="153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31"/>
      <c r="C463" s="5"/>
      <c r="D463" s="5"/>
      <c r="E463" s="5"/>
      <c r="F463" s="152"/>
      <c r="G463" s="153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31"/>
      <c r="C464" s="5"/>
      <c r="D464" s="5"/>
      <c r="E464" s="5"/>
      <c r="F464" s="152"/>
      <c r="G464" s="15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31"/>
      <c r="C465" s="5"/>
      <c r="D465" s="5"/>
      <c r="E465" s="5"/>
      <c r="F465" s="152"/>
      <c r="G465" s="153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31"/>
      <c r="C466" s="5"/>
      <c r="D466" s="5"/>
      <c r="E466" s="5"/>
      <c r="F466" s="152"/>
      <c r="G466" s="153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31"/>
      <c r="C467" s="5"/>
      <c r="D467" s="5"/>
      <c r="E467" s="5"/>
      <c r="F467" s="152"/>
      <c r="G467" s="153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31"/>
      <c r="C468" s="5"/>
      <c r="D468" s="5"/>
      <c r="E468" s="5"/>
      <c r="F468" s="152"/>
      <c r="G468" s="153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31"/>
      <c r="C469" s="5"/>
      <c r="D469" s="5"/>
      <c r="E469" s="5"/>
      <c r="F469" s="152"/>
      <c r="G469" s="153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31"/>
      <c r="C470" s="5"/>
      <c r="D470" s="5"/>
      <c r="E470" s="5"/>
      <c r="F470" s="152"/>
      <c r="G470" s="153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31"/>
      <c r="C471" s="5"/>
      <c r="D471" s="5"/>
      <c r="E471" s="5"/>
      <c r="F471" s="152"/>
      <c r="G471" s="153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31"/>
      <c r="C472" s="5"/>
      <c r="D472" s="5"/>
      <c r="E472" s="5"/>
      <c r="F472" s="152"/>
      <c r="G472" s="153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31"/>
      <c r="C473" s="5"/>
      <c r="D473" s="5"/>
      <c r="E473" s="5"/>
      <c r="F473" s="152"/>
      <c r="G473" s="153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31"/>
      <c r="C474" s="5"/>
      <c r="D474" s="5"/>
      <c r="E474" s="5"/>
      <c r="F474" s="152"/>
      <c r="G474" s="153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31"/>
      <c r="C475" s="5"/>
      <c r="D475" s="5"/>
      <c r="E475" s="5"/>
      <c r="F475" s="152"/>
      <c r="G475" s="153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31"/>
      <c r="C476" s="5"/>
      <c r="D476" s="5"/>
      <c r="E476" s="5"/>
      <c r="F476" s="152"/>
      <c r="G476" s="153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31"/>
      <c r="C477" s="5"/>
      <c r="D477" s="5"/>
      <c r="E477" s="5"/>
      <c r="F477" s="152"/>
      <c r="G477" s="153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31"/>
      <c r="C478" s="5"/>
      <c r="D478" s="5"/>
      <c r="E478" s="5"/>
      <c r="F478" s="152"/>
      <c r="G478" s="153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31"/>
      <c r="C479" s="5"/>
      <c r="D479" s="5"/>
      <c r="E479" s="5"/>
      <c r="F479" s="152"/>
      <c r="G479" s="153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31"/>
      <c r="C480" s="5"/>
      <c r="D480" s="5"/>
      <c r="E480" s="5"/>
      <c r="F480" s="152"/>
      <c r="G480" s="153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31"/>
      <c r="C481" s="5"/>
      <c r="D481" s="5"/>
      <c r="E481" s="5"/>
      <c r="F481" s="152"/>
      <c r="G481" s="153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31"/>
      <c r="C482" s="5"/>
      <c r="D482" s="5"/>
      <c r="E482" s="5"/>
      <c r="F482" s="152"/>
      <c r="G482" s="153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31"/>
      <c r="C483" s="5"/>
      <c r="D483" s="5"/>
      <c r="E483" s="5"/>
      <c r="F483" s="152"/>
      <c r="G483" s="153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31"/>
      <c r="C484" s="5"/>
      <c r="D484" s="5"/>
      <c r="E484" s="5"/>
      <c r="F484" s="152"/>
      <c r="G484" s="153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31"/>
      <c r="C485" s="5"/>
      <c r="D485" s="5"/>
      <c r="E485" s="5"/>
      <c r="F485" s="152"/>
      <c r="G485" s="153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31"/>
      <c r="C486" s="5"/>
      <c r="D486" s="5"/>
      <c r="E486" s="5"/>
      <c r="F486" s="152"/>
      <c r="G486" s="153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31"/>
      <c r="C487" s="5"/>
      <c r="D487" s="5"/>
      <c r="E487" s="5"/>
      <c r="F487" s="152"/>
      <c r="G487" s="153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31"/>
      <c r="C488" s="5"/>
      <c r="D488" s="5"/>
      <c r="E488" s="5"/>
      <c r="F488" s="152"/>
      <c r="G488" s="153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31"/>
      <c r="C489" s="5"/>
      <c r="D489" s="5"/>
      <c r="E489" s="5"/>
      <c r="F489" s="152"/>
      <c r="G489" s="153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31"/>
      <c r="C490" s="5"/>
      <c r="D490" s="5"/>
      <c r="E490" s="5"/>
      <c r="F490" s="152"/>
      <c r="G490" s="153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31"/>
      <c r="C491" s="5"/>
      <c r="D491" s="5"/>
      <c r="E491" s="5"/>
      <c r="F491" s="152"/>
      <c r="G491" s="153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31"/>
      <c r="C492" s="5"/>
      <c r="D492" s="5"/>
      <c r="E492" s="5"/>
      <c r="F492" s="152"/>
      <c r="G492" s="153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31"/>
      <c r="C493" s="5"/>
      <c r="D493" s="5"/>
      <c r="E493" s="5"/>
      <c r="F493" s="152"/>
      <c r="G493" s="153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31"/>
      <c r="C494" s="5"/>
      <c r="D494" s="5"/>
      <c r="E494" s="5"/>
      <c r="F494" s="152"/>
      <c r="G494" s="153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31"/>
      <c r="C495" s="5"/>
      <c r="D495" s="5"/>
      <c r="E495" s="5"/>
      <c r="F495" s="152"/>
      <c r="G495" s="153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31"/>
      <c r="C496" s="5"/>
      <c r="D496" s="5"/>
      <c r="E496" s="5"/>
      <c r="F496" s="152"/>
      <c r="G496" s="153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31"/>
      <c r="C497" s="5"/>
      <c r="D497" s="5"/>
      <c r="E497" s="5"/>
      <c r="F497" s="152"/>
      <c r="G497" s="153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31"/>
      <c r="C498" s="5"/>
      <c r="D498" s="5"/>
      <c r="E498" s="5"/>
      <c r="F498" s="152"/>
      <c r="G498" s="153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31"/>
      <c r="C499" s="5"/>
      <c r="D499" s="5"/>
      <c r="E499" s="5"/>
      <c r="F499" s="152"/>
      <c r="G499" s="153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31"/>
      <c r="C500" s="5"/>
      <c r="D500" s="5"/>
      <c r="E500" s="5"/>
      <c r="F500" s="152"/>
      <c r="G500" s="153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31"/>
      <c r="C501" s="5"/>
      <c r="D501" s="5"/>
      <c r="E501" s="5"/>
      <c r="F501" s="152"/>
      <c r="G501" s="153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31"/>
      <c r="C502" s="5"/>
      <c r="D502" s="5"/>
      <c r="E502" s="5"/>
      <c r="F502" s="152"/>
      <c r="G502" s="153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31"/>
      <c r="C503" s="5"/>
      <c r="D503" s="5"/>
      <c r="E503" s="5"/>
      <c r="F503" s="152"/>
      <c r="G503" s="153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31"/>
      <c r="C504" s="5"/>
      <c r="D504" s="5"/>
      <c r="E504" s="5"/>
      <c r="F504" s="152"/>
      <c r="G504" s="153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31"/>
      <c r="C505" s="5"/>
      <c r="D505" s="5"/>
      <c r="E505" s="5"/>
      <c r="F505" s="152"/>
      <c r="G505" s="153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31"/>
      <c r="C506" s="5"/>
      <c r="D506" s="5"/>
      <c r="E506" s="5"/>
      <c r="F506" s="152"/>
      <c r="G506" s="153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31"/>
      <c r="C507" s="5"/>
      <c r="D507" s="5"/>
      <c r="E507" s="5"/>
      <c r="F507" s="152"/>
      <c r="G507" s="153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31"/>
      <c r="C508" s="5"/>
      <c r="D508" s="5"/>
      <c r="E508" s="5"/>
      <c r="F508" s="152"/>
      <c r="G508" s="153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31"/>
      <c r="C509" s="5"/>
      <c r="D509" s="5"/>
      <c r="E509" s="5"/>
      <c r="F509" s="152"/>
      <c r="G509" s="153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31"/>
      <c r="C510" s="5"/>
      <c r="D510" s="5"/>
      <c r="E510" s="5"/>
      <c r="F510" s="152"/>
      <c r="G510" s="153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31"/>
      <c r="C511" s="5"/>
      <c r="D511" s="5"/>
      <c r="E511" s="5"/>
      <c r="F511" s="152"/>
      <c r="G511" s="153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31"/>
      <c r="C512" s="5"/>
      <c r="D512" s="5"/>
      <c r="E512" s="5"/>
      <c r="F512" s="152"/>
      <c r="G512" s="153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31"/>
      <c r="C513" s="5"/>
      <c r="D513" s="5"/>
      <c r="E513" s="5"/>
      <c r="F513" s="152"/>
      <c r="G513" s="153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31"/>
      <c r="C514" s="5"/>
      <c r="D514" s="5"/>
      <c r="E514" s="5"/>
      <c r="F514" s="152"/>
      <c r="G514" s="153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31"/>
      <c r="C515" s="5"/>
      <c r="D515" s="5"/>
      <c r="E515" s="5"/>
      <c r="F515" s="152"/>
      <c r="G515" s="153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31"/>
      <c r="C516" s="5"/>
      <c r="D516" s="5"/>
      <c r="E516" s="5"/>
      <c r="F516" s="152"/>
      <c r="G516" s="153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31"/>
      <c r="C517" s="5"/>
      <c r="D517" s="5"/>
      <c r="E517" s="5"/>
      <c r="F517" s="152"/>
      <c r="G517" s="153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31"/>
      <c r="C518" s="5"/>
      <c r="D518" s="5"/>
      <c r="E518" s="5"/>
      <c r="F518" s="152"/>
      <c r="G518" s="153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31"/>
      <c r="C519" s="5"/>
      <c r="D519" s="5"/>
      <c r="E519" s="5"/>
      <c r="F519" s="152"/>
      <c r="G519" s="153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31"/>
      <c r="C520" s="5"/>
      <c r="D520" s="5"/>
      <c r="E520" s="5"/>
      <c r="F520" s="152"/>
      <c r="G520" s="153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31"/>
      <c r="C521" s="5"/>
      <c r="D521" s="5"/>
      <c r="E521" s="5"/>
      <c r="F521" s="152"/>
      <c r="G521" s="153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31"/>
      <c r="C522" s="5"/>
      <c r="D522" s="5"/>
      <c r="E522" s="5"/>
      <c r="F522" s="152"/>
      <c r="G522" s="153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31"/>
      <c r="C523" s="5"/>
      <c r="D523" s="5"/>
      <c r="E523" s="5"/>
      <c r="F523" s="152"/>
      <c r="G523" s="153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31"/>
      <c r="C524" s="5"/>
      <c r="D524" s="5"/>
      <c r="E524" s="5"/>
      <c r="F524" s="152"/>
      <c r="G524" s="153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31"/>
      <c r="C525" s="5"/>
      <c r="D525" s="5"/>
      <c r="E525" s="5"/>
      <c r="F525" s="152"/>
      <c r="G525" s="153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</sheetData>
  <mergeCells count="13">
    <mergeCell ref="C7:C8"/>
    <mergeCell ref="D7:D8"/>
    <mergeCell ref="E7:E8"/>
    <mergeCell ref="F7:F8"/>
    <mergeCell ref="G7:G8"/>
    <mergeCell ref="H7:H8"/>
    <mergeCell ref="A1:H1"/>
    <mergeCell ref="A2:H2"/>
    <mergeCell ref="A3:H3"/>
    <mergeCell ref="A4:H4"/>
    <mergeCell ref="A5:H5"/>
    <mergeCell ref="A7:A8"/>
    <mergeCell ref="B7:B8"/>
  </mergeCells>
  <dataValidations>
    <dataValidation type="list" allowBlank="1" sqref="E10:E328">
      <formula1>"100,101,102,107,108,109,110,111,112,113,114,115,116,117,118,119,120,121,200,201,202,203,204,205,206,207,208,209,210,211,212,213,214,215,216,217,218,220,221"</formula1>
    </dataValidation>
    <dataValidation type="list" allowBlank="1" sqref="C10:C329">
      <formula1>"Withdraw,Deposit"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5.38"/>
    <col customWidth="1" min="2" max="2" width="4.5"/>
    <col customWidth="1" min="3" max="3" width="12.0"/>
    <col customWidth="1" min="4" max="4" width="4.5"/>
    <col customWidth="1" min="5" max="5" width="12.75"/>
    <col customWidth="1" min="6" max="6" width="3.38"/>
    <col customWidth="1" min="7" max="7" width="14.5"/>
    <col customWidth="1" min="8" max="17" width="7.0"/>
    <col customWidth="1" min="18" max="26" width="15.13"/>
  </cols>
  <sheetData>
    <row r="1" ht="29.25" customHeight="1">
      <c r="A1" s="1" t="s">
        <v>0</v>
      </c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1" t="s">
        <v>2</v>
      </c>
      <c r="H2" s="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3" t="s">
        <v>3</v>
      </c>
      <c r="B3" s="15"/>
      <c r="C3" s="15"/>
      <c r="D3" s="15"/>
      <c r="E3" s="15"/>
      <c r="F3" s="15"/>
      <c r="G3" s="15"/>
      <c r="H3" s="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7.5" customHeight="1">
      <c r="A4" s="20" t="s">
        <v>4</v>
      </c>
      <c r="H4" s="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7.75" customHeight="1">
      <c r="A5" s="23" t="s">
        <v>5</v>
      </c>
      <c r="B5" s="26"/>
      <c r="C5" s="26"/>
      <c r="D5" s="26"/>
      <c r="E5" s="26"/>
      <c r="F5" s="26"/>
      <c r="G5" s="2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5"/>
      <c r="C6" s="5"/>
      <c r="D6" s="5"/>
      <c r="E6" s="5"/>
      <c r="F6" s="31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8"/>
      <c r="B7" s="38"/>
      <c r="C7" s="40" t="s">
        <v>11</v>
      </c>
      <c r="D7" s="42"/>
      <c r="E7" s="40" t="s">
        <v>13</v>
      </c>
      <c r="F7" s="43"/>
      <c r="G7" s="45" t="s">
        <v>14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47" t="s">
        <v>15</v>
      </c>
      <c r="B8" s="49">
        <v>100.0</v>
      </c>
      <c r="C8" s="59">
        <f>VLOOKUP(B8,IncStmt!$B$10:$D$24,3,FALSE)</f>
        <v>1982</v>
      </c>
      <c r="D8" s="49">
        <v>200.0</v>
      </c>
      <c r="E8" s="65">
        <f>VLOOKUP(D8,IncStmt!$B$30:$D$48,3,FALSE)</f>
        <v>652.5</v>
      </c>
      <c r="F8" s="69" t="s">
        <v>19</v>
      </c>
      <c r="G8" s="65">
        <f t="shared" ref="G8:G30" si="1">C8-E8</f>
        <v>1329.5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47" t="s">
        <v>26</v>
      </c>
      <c r="B9" s="49">
        <v>101.0</v>
      </c>
      <c r="C9" s="59">
        <f>VLOOKUP(B9,IncStmt!$B$10:$D$24,3,FALSE)</f>
        <v>450</v>
      </c>
      <c r="D9" s="49">
        <v>201.0</v>
      </c>
      <c r="E9" s="65">
        <f>VLOOKUP(D9,IncStmt!$B$30:$D$48,3,FALSE)</f>
        <v>215.61</v>
      </c>
      <c r="F9" s="69" t="s">
        <v>19</v>
      </c>
      <c r="G9" s="65">
        <f t="shared" si="1"/>
        <v>234.39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47" t="s">
        <v>29</v>
      </c>
      <c r="B10" s="49">
        <v>102.0</v>
      </c>
      <c r="C10" s="59">
        <f>VLOOKUP(B10,IncStmt!$B$10:$D$24,3,FALSE)</f>
        <v>0</v>
      </c>
      <c r="D10" s="87" t="s">
        <v>32</v>
      </c>
      <c r="E10" s="65">
        <v>0.0</v>
      </c>
      <c r="F10" s="69" t="s">
        <v>19</v>
      </c>
      <c r="G10" s="65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47" t="s">
        <v>30</v>
      </c>
      <c r="B11" s="92"/>
      <c r="C11" s="59">
        <v>0.0</v>
      </c>
      <c r="D11" s="49">
        <v>202.0</v>
      </c>
      <c r="E11" s="65">
        <f>VLOOKUP(D11,IncStmt!$B$30:$D$48,3,FALSE)</f>
        <v>43.75</v>
      </c>
      <c r="F11" s="96" t="s">
        <v>19</v>
      </c>
      <c r="G11" s="65">
        <f t="shared" si="1"/>
        <v>-43.75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47" t="s">
        <v>34</v>
      </c>
      <c r="B12" s="92"/>
      <c r="C12" s="59"/>
      <c r="D12" s="49">
        <v>203.0</v>
      </c>
      <c r="E12" s="65">
        <f>VLOOKUP(D12,IncStmt!$B$30:$D$48,3,FALSE)</f>
        <v>270</v>
      </c>
      <c r="F12" s="96" t="s">
        <v>19</v>
      </c>
      <c r="G12" s="65">
        <f t="shared" si="1"/>
        <v>-270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100" t="s">
        <v>38</v>
      </c>
      <c r="B13" s="92"/>
      <c r="C13" s="59"/>
      <c r="D13" s="49">
        <v>204.0</v>
      </c>
      <c r="E13" s="65">
        <f>VLOOKUP(D13,IncStmt!$B$30:$D$48,3,FALSE)</f>
        <v>116.7</v>
      </c>
      <c r="F13" s="96" t="s">
        <v>19</v>
      </c>
      <c r="G13" s="65">
        <f t="shared" si="1"/>
        <v>-116.7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47" t="s">
        <v>41</v>
      </c>
      <c r="B14" s="92"/>
      <c r="C14" s="59"/>
      <c r="D14" s="49">
        <v>205.0</v>
      </c>
      <c r="E14" s="65">
        <f>VLOOKUP(D14,IncStmt!$B$30:$D$48,3,FALSE)</f>
        <v>0</v>
      </c>
      <c r="F14" s="96" t="s">
        <v>19</v>
      </c>
      <c r="G14" s="65">
        <f t="shared" si="1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100" t="s">
        <v>43</v>
      </c>
      <c r="B15" s="92"/>
      <c r="C15" s="59"/>
      <c r="D15" s="49">
        <v>206.0</v>
      </c>
      <c r="E15" s="65">
        <f>VLOOKUP(D15,IncStmt!$B$30:$D$48,3,FALSE)</f>
        <v>0</v>
      </c>
      <c r="F15" s="96" t="s">
        <v>19</v>
      </c>
      <c r="G15" s="65">
        <f t="shared" si="1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100" t="s">
        <v>52</v>
      </c>
      <c r="B16" s="49">
        <v>107.0</v>
      </c>
      <c r="C16" s="59">
        <f>VLOOKUP(B16,IncStmt!$B$10:$D$24,3,FALSE)</f>
        <v>0</v>
      </c>
      <c r="D16" s="49">
        <v>207.0</v>
      </c>
      <c r="E16" s="65">
        <f>VLOOKUP(D16,IncStmt!$B$30:$D$48,3,FALSE)</f>
        <v>0</v>
      </c>
      <c r="F16" s="96" t="s">
        <v>19</v>
      </c>
      <c r="G16" s="65">
        <f t="shared" si="1"/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47" t="s">
        <v>57</v>
      </c>
      <c r="B17" s="49">
        <v>108.0</v>
      </c>
      <c r="C17" s="59">
        <f>VLOOKUP(B17,IncStmt!$B$10:$D$24,3,FALSE)</f>
        <v>125</v>
      </c>
      <c r="D17" s="49">
        <v>208.0</v>
      </c>
      <c r="E17" s="65">
        <f>VLOOKUP(D17,IncStmt!$B$30:$D$48,3,FALSE)</f>
        <v>48.57</v>
      </c>
      <c r="F17" s="96" t="s">
        <v>19</v>
      </c>
      <c r="G17" s="65">
        <f t="shared" si="1"/>
        <v>76.43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47" t="s">
        <v>61</v>
      </c>
      <c r="B18" s="49">
        <v>109.0</v>
      </c>
      <c r="C18" s="59">
        <f>VLOOKUP(B18,IncStmt!$B$10:$D$24,3,FALSE)</f>
        <v>0</v>
      </c>
      <c r="D18" s="49">
        <v>209.0</v>
      </c>
      <c r="E18" s="65">
        <f>VLOOKUP(D18,IncStmt!$B$30:$D$48,3,FALSE)</f>
        <v>0</v>
      </c>
      <c r="F18" s="96" t="s">
        <v>19</v>
      </c>
      <c r="G18" s="65">
        <f t="shared" si="1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47" t="s">
        <v>42</v>
      </c>
      <c r="B19" s="49">
        <v>110.0</v>
      </c>
      <c r="C19" s="59">
        <f>VLOOKUP(B19,IncStmt!$B$10:$D$24,3,FALSE)</f>
        <v>0</v>
      </c>
      <c r="D19" s="49">
        <v>210.0</v>
      </c>
      <c r="E19" s="65">
        <f>VLOOKUP(D19,IncStmt!$B$30:$D$48,3,FALSE)</f>
        <v>20.64</v>
      </c>
      <c r="F19" s="96" t="s">
        <v>19</v>
      </c>
      <c r="G19" s="65">
        <f t="shared" si="1"/>
        <v>-20.64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100" t="s">
        <v>44</v>
      </c>
      <c r="B20" s="49">
        <v>111.0</v>
      </c>
      <c r="C20" s="59">
        <f>VLOOKUP(B20,IncStmt!$B$10:$D$24,3,FALSE)</f>
        <v>0</v>
      </c>
      <c r="D20" s="49">
        <v>211.0</v>
      </c>
      <c r="E20" s="65">
        <f>VLOOKUP(D20,IncStmt!$B$30:$D$48,3,FALSE)</f>
        <v>0</v>
      </c>
      <c r="F20" s="96" t="s">
        <v>19</v>
      </c>
      <c r="G20" s="65">
        <f t="shared" si="1"/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100" t="s">
        <v>46</v>
      </c>
      <c r="B21" s="49">
        <v>112.0</v>
      </c>
      <c r="C21" s="59">
        <f>VLOOKUP(B21,IncStmt!$B$10:$D$24,3,FALSE)</f>
        <v>0</v>
      </c>
      <c r="D21" s="49">
        <v>212.0</v>
      </c>
      <c r="E21" s="65">
        <f>VLOOKUP(D21,IncStmt!$B$30:$D$48,3,FALSE)</f>
        <v>85.86</v>
      </c>
      <c r="F21" s="96" t="s">
        <v>19</v>
      </c>
      <c r="G21" s="65">
        <f t="shared" si="1"/>
        <v>-85.86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47" t="s">
        <v>49</v>
      </c>
      <c r="B22" s="49">
        <v>113.0</v>
      </c>
      <c r="C22" s="59">
        <f>VLOOKUP(B22,IncStmt!$B$10:$D$24,3,FALSE)</f>
        <v>0</v>
      </c>
      <c r="D22" s="49">
        <v>213.0</v>
      </c>
      <c r="E22" s="65">
        <f>VLOOKUP(D22,IncStmt!$B$30:$D$48,3,FALSE)</f>
        <v>0</v>
      </c>
      <c r="F22" s="96" t="s">
        <v>19</v>
      </c>
      <c r="G22" s="65">
        <f t="shared" si="1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100" t="s">
        <v>56</v>
      </c>
      <c r="B23" s="49">
        <v>114.0</v>
      </c>
      <c r="C23" s="59">
        <f>VLOOKUP(B23,IncStmt!$B$10:$D$24,3,FALSE)</f>
        <v>0</v>
      </c>
      <c r="D23" s="49">
        <v>214.0</v>
      </c>
      <c r="E23" s="65">
        <f>VLOOKUP(D23,IncStmt!$B$30:$D$48,3,FALSE)</f>
        <v>0</v>
      </c>
      <c r="F23" s="96"/>
      <c r="G23" s="65">
        <f t="shared" si="1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100" t="s">
        <v>55</v>
      </c>
      <c r="B24" s="49">
        <v>115.0</v>
      </c>
      <c r="C24" s="59">
        <f>VLOOKUP(B24,IncStmt!$B$10:$D$24,3,FALSE)</f>
        <v>0</v>
      </c>
      <c r="D24" s="49">
        <v>215.0</v>
      </c>
      <c r="E24" s="65">
        <f>VLOOKUP(D24,IncStmt!$B$30:$D$48,3,FALSE)</f>
        <v>260</v>
      </c>
      <c r="F24" s="96"/>
      <c r="G24" s="65">
        <f t="shared" si="1"/>
        <v>-260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47" t="s">
        <v>59</v>
      </c>
      <c r="B25" s="49">
        <v>116.0</v>
      </c>
      <c r="C25" s="59">
        <f>VLOOKUP(B25,IncStmt!$B$10:$D$24,3,FALSE)</f>
        <v>0</v>
      </c>
      <c r="D25" s="49">
        <v>216.0</v>
      </c>
      <c r="E25" s="65">
        <f>VLOOKUP(D25,IncStmt!$B$30:$D$48,3,FALSE)</f>
        <v>633.41</v>
      </c>
      <c r="F25" s="96"/>
      <c r="G25" s="65">
        <f t="shared" si="1"/>
        <v>-633.41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2.5" customHeight="1">
      <c r="A26" s="100" t="s">
        <v>60</v>
      </c>
      <c r="B26" s="49">
        <v>117.0</v>
      </c>
      <c r="C26" s="59">
        <f>VLOOKUP(B26,IncStmt!$B$10:$D$24,3,FALSE)</f>
        <v>0</v>
      </c>
      <c r="D26" s="49">
        <v>217.0</v>
      </c>
      <c r="E26" s="65">
        <f>VLOOKUP(D26,IncStmt!$B$30:$D$48,3,FALSE)</f>
        <v>240</v>
      </c>
      <c r="F26" s="96"/>
      <c r="G26" s="65">
        <f t="shared" si="1"/>
        <v>-240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47" t="s">
        <v>66</v>
      </c>
      <c r="B27" s="49">
        <v>118.0</v>
      </c>
      <c r="C27" s="59">
        <f>VLOOKUP(B27,IncStmt!$B$10:$D$24,3,FALSE)</f>
        <v>0</v>
      </c>
      <c r="D27" s="49">
        <v>218.0</v>
      </c>
      <c r="E27" s="65">
        <f>VLOOKUP(D27,IncStmt!$B$30:$D$48,3,FALSE)</f>
        <v>45</v>
      </c>
      <c r="F27" s="96" t="s">
        <v>19</v>
      </c>
      <c r="G27" s="65">
        <f t="shared" si="1"/>
        <v>-45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47" t="s">
        <v>64</v>
      </c>
      <c r="B28" s="49">
        <v>119.0</v>
      </c>
      <c r="C28" s="59">
        <f>VLOOKUP(B28,IncStmt!$B$10:$D$26,3,FALSE)</f>
        <v>64</v>
      </c>
      <c r="D28" s="49" t="s">
        <v>32</v>
      </c>
      <c r="E28" s="65">
        <v>0.0</v>
      </c>
      <c r="F28" s="96" t="s">
        <v>19</v>
      </c>
      <c r="G28" s="65">
        <f t="shared" si="1"/>
        <v>64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2.5" customHeight="1">
      <c r="A29" s="47" t="s">
        <v>70</v>
      </c>
      <c r="B29" s="49" t="s">
        <v>32</v>
      </c>
      <c r="C29" s="59"/>
      <c r="D29" s="49">
        <v>220.0</v>
      </c>
      <c r="E29" s="65">
        <f>VLOOKUP(D29,IncStmt!$B$30:$D$51,3,FALSE)</f>
        <v>0</v>
      </c>
      <c r="F29" s="96" t="s">
        <v>19</v>
      </c>
      <c r="G29" s="65">
        <f t="shared" si="1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2.5" customHeight="1">
      <c r="A30" s="109" t="s">
        <v>67</v>
      </c>
      <c r="B30" s="110">
        <v>121.0</v>
      </c>
      <c r="C30" s="111"/>
      <c r="D30" s="110">
        <v>221.0</v>
      </c>
      <c r="E30" s="112">
        <f>VLOOKUP(D30,IncStmt!$B$30:$D$51,3,FALSE)</f>
        <v>77</v>
      </c>
      <c r="F30" s="113" t="s">
        <v>19</v>
      </c>
      <c r="G30" s="112">
        <f t="shared" si="1"/>
        <v>-77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114" t="s">
        <v>14</v>
      </c>
      <c r="B31" s="5"/>
      <c r="C31" s="3"/>
      <c r="D31" s="3"/>
      <c r="E31" s="3"/>
      <c r="F31" s="69"/>
      <c r="G31" s="115">
        <f>SUM(G8:G30)</f>
        <v>-88.04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31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5">
    <mergeCell ref="A1:G1"/>
    <mergeCell ref="A2:G2"/>
    <mergeCell ref="A3:G3"/>
    <mergeCell ref="A4:G4"/>
    <mergeCell ref="A5:G5"/>
  </mergeCells>
  <conditionalFormatting sqref="G10">
    <cfRule type="notContainsBlanks" dxfId="0" priority="1">
      <formula>LEN(TRIM(G10))&gt;0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4.63"/>
    <col customWidth="1" min="3" max="3" width="36.5"/>
    <col customWidth="1" min="4" max="4" width="11.63"/>
    <col customWidth="1" min="5" max="5" width="13.25"/>
    <col customWidth="1" min="6" max="6" width="35.38"/>
    <col customWidth="1" min="7" max="7" width="8.0"/>
    <col customWidth="1" min="8" max="8" width="9.13"/>
    <col customWidth="1" min="9" max="15" width="8.0"/>
    <col customWidth="1" min="16" max="25" width="15.13"/>
  </cols>
  <sheetData>
    <row r="1" ht="29.25" customHeight="1">
      <c r="A1" s="7" t="s">
        <v>1</v>
      </c>
      <c r="B1" s="9"/>
      <c r="C1" s="9"/>
      <c r="D1" s="9"/>
      <c r="E1" s="9"/>
      <c r="F1" s="3"/>
      <c r="G1" s="3"/>
      <c r="H1" s="3"/>
      <c r="I1" s="3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12"/>
    </row>
    <row r="2">
      <c r="A2" s="14" t="s">
        <v>2</v>
      </c>
      <c r="F2" s="3"/>
      <c r="G2" s="3"/>
      <c r="H2" s="3"/>
      <c r="I2" s="3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12"/>
    </row>
    <row r="3" ht="15.75" customHeight="1">
      <c r="A3" s="19" t="s">
        <v>3</v>
      </c>
      <c r="B3" s="15"/>
      <c r="C3" s="15"/>
      <c r="D3" s="15"/>
      <c r="E3" s="15"/>
      <c r="F3" s="3"/>
      <c r="G3" s="3"/>
      <c r="H3" s="3"/>
      <c r="I3" s="3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12"/>
    </row>
    <row r="4" ht="7.5" customHeight="1">
      <c r="A4" s="22" t="s">
        <v>4</v>
      </c>
      <c r="F4" s="3"/>
      <c r="G4" s="3"/>
      <c r="H4" s="3"/>
      <c r="I4" s="3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2"/>
    </row>
    <row r="5" ht="22.5" customHeight="1">
      <c r="A5" s="23" t="s">
        <v>7</v>
      </c>
      <c r="B5" s="26"/>
      <c r="C5" s="26"/>
      <c r="D5" s="26"/>
      <c r="E5" s="28"/>
      <c r="F5" s="3"/>
      <c r="G5" s="3"/>
      <c r="H5" s="3"/>
      <c r="I5" s="3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12"/>
    </row>
    <row r="6">
      <c r="A6" s="30"/>
      <c r="B6" s="3"/>
      <c r="C6" s="3"/>
      <c r="D6" s="33"/>
      <c r="E6" s="35"/>
      <c r="F6" s="3"/>
      <c r="G6" s="3"/>
      <c r="H6" s="3"/>
      <c r="I6" s="3"/>
      <c r="J6" s="3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12"/>
    </row>
    <row r="7">
      <c r="A7" s="41" t="s">
        <v>12</v>
      </c>
      <c r="B7" s="3"/>
      <c r="C7" s="3"/>
      <c r="D7" s="33"/>
      <c r="E7" s="50">
        <f>Checkbook!H9</f>
        <v>901.01</v>
      </c>
      <c r="F7" s="53"/>
      <c r="G7" s="6"/>
      <c r="H7" s="55"/>
      <c r="I7" s="6"/>
      <c r="J7" s="3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12"/>
    </row>
    <row r="8">
      <c r="A8" s="30"/>
      <c r="B8" s="3"/>
      <c r="C8" s="3"/>
      <c r="D8" s="33"/>
      <c r="E8" s="35"/>
      <c r="F8" s="53"/>
      <c r="G8" s="6"/>
      <c r="H8" s="55"/>
      <c r="I8" s="6"/>
      <c r="J8" s="3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12"/>
    </row>
    <row r="9">
      <c r="A9" s="41" t="s">
        <v>11</v>
      </c>
      <c r="B9" s="3"/>
      <c r="C9" s="3"/>
      <c r="D9" s="33"/>
      <c r="E9" s="35"/>
      <c r="F9" s="53"/>
      <c r="G9" s="6"/>
      <c r="H9" s="55"/>
      <c r="I9" s="3"/>
      <c r="J9" s="3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12"/>
    </row>
    <row r="10">
      <c r="A10" s="30"/>
      <c r="B10" s="67">
        <v>100.0</v>
      </c>
      <c r="C10" s="67" t="s">
        <v>15</v>
      </c>
      <c r="D10" s="74">
        <f>SUMIF(Checkbook!$E$9:$E$519,B10,Checkbook!$G$9:$G$407)</f>
        <v>1982</v>
      </c>
      <c r="E10" s="35"/>
      <c r="F10" s="53"/>
      <c r="G10" s="5"/>
      <c r="H10" s="55"/>
      <c r="I10" s="6"/>
      <c r="J10" s="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12"/>
    </row>
    <row r="11">
      <c r="A11" s="30"/>
      <c r="B11" s="67">
        <v>101.0</v>
      </c>
      <c r="C11" s="67" t="s">
        <v>25</v>
      </c>
      <c r="D11" s="74">
        <f>SUMIF(Checkbook!$E$9:$E$519,B11,Checkbook!$G$9:$G$407)</f>
        <v>450</v>
      </c>
      <c r="E11" s="35"/>
      <c r="F11" s="53"/>
      <c r="G11" s="5"/>
      <c r="H11" s="55"/>
      <c r="I11" s="6"/>
      <c r="J11" s="3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12"/>
    </row>
    <row r="12">
      <c r="A12" s="30"/>
      <c r="B12" s="67">
        <v>102.0</v>
      </c>
      <c r="C12" s="67" t="s">
        <v>29</v>
      </c>
      <c r="D12" s="74">
        <f>SUMIF(Checkbook!$E$9:$E$519,B12,Checkbook!$G$9:$G$407)</f>
        <v>0</v>
      </c>
      <c r="E12" s="35"/>
      <c r="F12" s="53"/>
      <c r="G12" s="5"/>
      <c r="H12" s="55"/>
      <c r="I12" s="6"/>
      <c r="J12" s="3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12"/>
    </row>
    <row r="13">
      <c r="A13" s="30"/>
      <c r="B13" s="67">
        <v>107.0</v>
      </c>
      <c r="C13" s="90" t="s">
        <v>33</v>
      </c>
      <c r="D13" s="74">
        <f>SUMIF(Checkbook!$E$9:$E$519,B13,Checkbook!$G$9:$G$407)</f>
        <v>0</v>
      </c>
      <c r="E13" s="35"/>
      <c r="F13" s="53"/>
      <c r="G13" s="5"/>
      <c r="H13" s="55"/>
      <c r="I13" s="6"/>
      <c r="J13" s="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12"/>
    </row>
    <row r="14">
      <c r="A14" s="30"/>
      <c r="B14" s="67">
        <v>108.0</v>
      </c>
      <c r="C14" s="67" t="s">
        <v>36</v>
      </c>
      <c r="D14" s="74">
        <f>SUMIF(Checkbook!$E$9:$E$519,B14,Checkbook!$G$9:$G$407)</f>
        <v>125</v>
      </c>
      <c r="E14" s="35"/>
      <c r="F14" s="53"/>
      <c r="G14" s="5"/>
      <c r="H14" s="55"/>
      <c r="I14" s="6"/>
      <c r="J14" s="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12"/>
    </row>
    <row r="15">
      <c r="A15" s="30"/>
      <c r="B15" s="67">
        <v>109.0</v>
      </c>
      <c r="C15" s="67" t="s">
        <v>40</v>
      </c>
      <c r="D15" s="74">
        <f>SUMIF(Checkbook!$E$9:$E$519,B15,Checkbook!$G$9:$G$407)</f>
        <v>0</v>
      </c>
      <c r="E15" s="35"/>
      <c r="F15" s="53"/>
      <c r="G15" s="6"/>
      <c r="H15" s="55"/>
      <c r="I15" s="6"/>
      <c r="J15" s="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12"/>
    </row>
    <row r="16">
      <c r="A16" s="30"/>
      <c r="B16" s="67">
        <v>110.0</v>
      </c>
      <c r="C16" s="67" t="s">
        <v>42</v>
      </c>
      <c r="D16" s="74">
        <f>SUMIF(Checkbook!$E$9:$E$519,B16,Checkbook!$G$9:$G$407)</f>
        <v>0</v>
      </c>
      <c r="E16" s="35"/>
      <c r="F16" s="53"/>
      <c r="G16" s="6"/>
      <c r="H16" s="55"/>
      <c r="I16" s="6"/>
      <c r="J16" s="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12"/>
    </row>
    <row r="17">
      <c r="A17" s="30"/>
      <c r="B17" s="67">
        <v>112.0</v>
      </c>
      <c r="C17" s="90" t="s">
        <v>46</v>
      </c>
      <c r="D17" s="74">
        <f>SUMIF(Checkbook!$E$9:$E$519,B17,Checkbook!$G$9:$G$407)</f>
        <v>0</v>
      </c>
      <c r="E17" s="35"/>
      <c r="F17" s="53"/>
      <c r="G17" s="6"/>
      <c r="H17" s="55"/>
      <c r="I17" s="6"/>
      <c r="J17" s="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12"/>
    </row>
    <row r="18">
      <c r="A18" s="30"/>
      <c r="B18" s="67">
        <v>111.0</v>
      </c>
      <c r="C18" s="90" t="s">
        <v>44</v>
      </c>
      <c r="D18" s="74">
        <f>SUMIF(Checkbook!$E$9:$E$519,B18,Checkbook!$G$9:$G$407)</f>
        <v>0</v>
      </c>
      <c r="E18" s="35"/>
      <c r="F18" s="53"/>
      <c r="G18" s="6"/>
      <c r="H18" s="55"/>
      <c r="I18" s="6"/>
      <c r="J18" s="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12"/>
    </row>
    <row r="19">
      <c r="A19" s="30"/>
      <c r="B19" s="67">
        <v>113.0</v>
      </c>
      <c r="C19" s="67" t="s">
        <v>49</v>
      </c>
      <c r="D19" s="74">
        <f>SUMIF(Checkbook!$E$9:$E$519,B19,Checkbook!$G$9:$G$407)</f>
        <v>0</v>
      </c>
      <c r="E19" s="35"/>
      <c r="F19" s="53"/>
      <c r="G19" s="6"/>
      <c r="H19" s="55"/>
      <c r="I19" s="6"/>
      <c r="J19" s="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12"/>
    </row>
    <row r="20">
      <c r="A20" s="30"/>
      <c r="B20" s="67">
        <v>114.0</v>
      </c>
      <c r="C20" s="90" t="s">
        <v>56</v>
      </c>
      <c r="D20" s="74">
        <f>SUMIF(Checkbook!$E$9:$E$519,B20,Checkbook!$G$9:$G$407)</f>
        <v>0</v>
      </c>
      <c r="E20" s="35"/>
      <c r="F20" s="53"/>
      <c r="G20" s="6"/>
      <c r="H20" s="55"/>
      <c r="I20" s="6"/>
      <c r="J20" s="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12"/>
    </row>
    <row r="21" ht="15.75" customHeight="1">
      <c r="A21" s="30"/>
      <c r="B21" s="67">
        <v>115.0</v>
      </c>
      <c r="C21" s="90" t="s">
        <v>55</v>
      </c>
      <c r="D21" s="74">
        <f>SUMIF(Checkbook!$E$9:$E$519,B21,Checkbook!$G$9:$G$407)</f>
        <v>0</v>
      </c>
      <c r="E21" s="35"/>
      <c r="F21" s="53"/>
      <c r="G21" s="6"/>
      <c r="H21" s="55"/>
      <c r="I21" s="6"/>
      <c r="J21" s="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12"/>
    </row>
    <row r="22" ht="15.75" customHeight="1">
      <c r="A22" s="30"/>
      <c r="B22" s="67">
        <v>116.0</v>
      </c>
      <c r="C22" s="67" t="s">
        <v>59</v>
      </c>
      <c r="D22" s="74">
        <f>SUMIF(Checkbook!$E$9:$E$519,B22,Checkbook!$G$9:$G$407)</f>
        <v>0</v>
      </c>
      <c r="E22" s="35"/>
      <c r="F22" s="53"/>
      <c r="G22" s="6"/>
      <c r="H22" s="55"/>
      <c r="I22" s="6"/>
      <c r="J22" s="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12"/>
    </row>
    <row r="23" ht="15.75" customHeight="1">
      <c r="A23" s="30"/>
      <c r="B23" s="67">
        <v>117.0</v>
      </c>
      <c r="C23" s="90" t="s">
        <v>60</v>
      </c>
      <c r="D23" s="74">
        <f>SUMIF(Checkbook!$E$9:$E$519,B23,Checkbook!$G$9:$G$407)</f>
        <v>0</v>
      </c>
      <c r="E23" s="35"/>
      <c r="F23" s="53"/>
      <c r="G23" s="6"/>
      <c r="H23" s="55"/>
      <c r="I23" s="6"/>
      <c r="J23" s="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12"/>
    </row>
    <row r="24" ht="15.75" customHeight="1">
      <c r="A24" s="30"/>
      <c r="B24" s="67">
        <v>118.0</v>
      </c>
      <c r="C24" s="67" t="s">
        <v>66</v>
      </c>
      <c r="D24" s="74">
        <f>SUMIF(Checkbook!$E$9:$E$519,B24,Checkbook!$G$9:$G$407)</f>
        <v>0</v>
      </c>
      <c r="E24" s="3"/>
      <c r="F24" s="53"/>
      <c r="G24" s="6"/>
      <c r="H24" s="55"/>
      <c r="I24" s="6"/>
      <c r="J24" s="3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12"/>
    </row>
    <row r="25" ht="15.75" customHeight="1">
      <c r="A25" s="30"/>
      <c r="B25" s="67">
        <v>119.0</v>
      </c>
      <c r="C25" s="67" t="s">
        <v>64</v>
      </c>
      <c r="D25" s="74">
        <f>SUMIF(Checkbook!$E$9:$E$519,B25,Checkbook!$G$9:$G$407)</f>
        <v>64</v>
      </c>
      <c r="E25" s="35"/>
      <c r="F25" s="53"/>
      <c r="G25" s="6"/>
      <c r="H25" s="55"/>
      <c r="I25" s="6"/>
      <c r="J25" s="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12"/>
    </row>
    <row r="26" ht="15.75" customHeight="1">
      <c r="A26" s="30"/>
      <c r="B26" s="67">
        <v>121.0</v>
      </c>
      <c r="C26" s="90" t="s">
        <v>67</v>
      </c>
      <c r="D26" s="74">
        <f>SUMIF(Checkbook!$E$9:$E$519,B26,Checkbook!$G$9:$G$407)</f>
        <v>0</v>
      </c>
      <c r="E26" s="35"/>
      <c r="F26" s="53"/>
      <c r="G26" s="6"/>
      <c r="H26" s="55"/>
      <c r="I26" s="6"/>
      <c r="J26" s="3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12"/>
    </row>
    <row r="27" ht="15.75" customHeight="1">
      <c r="A27" s="106"/>
      <c r="B27" s="3"/>
      <c r="C27" s="53" t="s">
        <v>32</v>
      </c>
      <c r="D27" s="33"/>
      <c r="E27" s="50">
        <f>SUM(D9:D26)</f>
        <v>2621</v>
      </c>
      <c r="F27" s="53"/>
      <c r="G27" s="6"/>
      <c r="H27" s="55"/>
      <c r="I27" s="6"/>
      <c r="J27" s="3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12"/>
    </row>
    <row r="28" ht="15.75" customHeight="1">
      <c r="A28" s="30"/>
      <c r="B28" s="3"/>
      <c r="C28" s="53"/>
      <c r="D28" s="33"/>
      <c r="E28" s="35"/>
      <c r="F28" s="53"/>
      <c r="G28" s="6"/>
      <c r="H28" s="55"/>
      <c r="I28" s="6"/>
      <c r="J28" s="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12"/>
    </row>
    <row r="29" ht="15.75" customHeight="1">
      <c r="A29" s="41" t="s">
        <v>13</v>
      </c>
      <c r="B29" s="3"/>
      <c r="C29" s="53"/>
      <c r="D29" s="33"/>
      <c r="E29" s="35"/>
      <c r="F29" s="53"/>
      <c r="G29" s="6"/>
      <c r="H29" s="55"/>
      <c r="I29" s="6"/>
      <c r="J29" s="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12"/>
    </row>
    <row r="30" ht="15.75" customHeight="1">
      <c r="A30" s="30"/>
      <c r="B30" s="67">
        <v>200.0</v>
      </c>
      <c r="C30" s="67" t="s">
        <v>17</v>
      </c>
      <c r="D30" s="74">
        <f>SUMIF(Checkbook!$E$9:$E$519,B30,Checkbook!$F$9:$F$519)</f>
        <v>652.5</v>
      </c>
      <c r="E30" s="35"/>
      <c r="F30" s="5"/>
      <c r="G30" s="5"/>
      <c r="H30" s="55"/>
      <c r="I30" s="6"/>
      <c r="J30" s="3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12"/>
    </row>
    <row r="31" ht="15.75" customHeight="1">
      <c r="A31" s="30"/>
      <c r="B31" s="67">
        <v>201.0</v>
      </c>
      <c r="C31" s="67" t="s">
        <v>27</v>
      </c>
      <c r="D31" s="74">
        <f>SUMIF(Checkbook!$E$9:$E$519,B31,Checkbook!$F$9:$F$519)</f>
        <v>215.61</v>
      </c>
      <c r="E31" s="35"/>
      <c r="F31" s="3"/>
      <c r="G31" s="3"/>
      <c r="H31" s="3"/>
      <c r="I31" s="3"/>
      <c r="J31" s="3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12"/>
    </row>
    <row r="32" ht="15.75" customHeight="1">
      <c r="A32" s="30"/>
      <c r="B32" s="67">
        <v>202.0</v>
      </c>
      <c r="C32" s="67" t="s">
        <v>30</v>
      </c>
      <c r="D32" s="74">
        <f>SUMIF(Checkbook!$E$9:$E$519,B32,Checkbook!$F$9:$F$519)</f>
        <v>43.75</v>
      </c>
      <c r="E32" s="35"/>
      <c r="F32" s="3"/>
      <c r="G32" s="3"/>
      <c r="H32" s="3"/>
      <c r="I32" s="3"/>
      <c r="J32" s="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12"/>
    </row>
    <row r="33" ht="15.75" customHeight="1">
      <c r="A33" s="30"/>
      <c r="B33" s="67">
        <v>203.0</v>
      </c>
      <c r="C33" s="67" t="s">
        <v>34</v>
      </c>
      <c r="D33" s="74">
        <f>SUMIF(Checkbook!$E$9:$E$519,B33,Checkbook!$F$9:$F$519)</f>
        <v>270</v>
      </c>
      <c r="E33" s="35"/>
      <c r="F33" s="3"/>
      <c r="G33" s="3"/>
      <c r="H33" s="3"/>
      <c r="I33" s="3"/>
      <c r="J33" s="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12"/>
    </row>
    <row r="34" ht="15.75" customHeight="1">
      <c r="A34" s="30"/>
      <c r="B34" s="67">
        <v>204.0</v>
      </c>
      <c r="C34" s="90" t="s">
        <v>38</v>
      </c>
      <c r="D34" s="74">
        <f>SUMIF(Checkbook!$E$9:$E$519,B34,Checkbook!$F$9:$F$519)</f>
        <v>116.7</v>
      </c>
      <c r="E34" s="35"/>
      <c r="F34" s="3"/>
      <c r="G34" s="3"/>
      <c r="H34" s="3"/>
      <c r="I34" s="3"/>
      <c r="J34" s="3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12"/>
    </row>
    <row r="35" ht="15.75" customHeight="1">
      <c r="A35" s="30"/>
      <c r="B35" s="67">
        <v>205.0</v>
      </c>
      <c r="C35" s="67" t="s">
        <v>41</v>
      </c>
      <c r="D35" s="74">
        <f>SUMIF(Checkbook!$E$9:$E$519,B35,Checkbook!$F$9:$F$519)</f>
        <v>0</v>
      </c>
      <c r="E35" s="35"/>
      <c r="F35" s="3"/>
      <c r="G35" s="3"/>
      <c r="H35" s="3"/>
      <c r="I35" s="3"/>
      <c r="J35" s="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12"/>
    </row>
    <row r="36" ht="15.75" customHeight="1">
      <c r="A36" s="30"/>
      <c r="B36" s="67">
        <v>206.0</v>
      </c>
      <c r="C36" s="90" t="s">
        <v>43</v>
      </c>
      <c r="D36" s="74">
        <f>SUMIF(Checkbook!$E$9:$E$519,B36,Checkbook!$F$9:$F$519)</f>
        <v>0</v>
      </c>
      <c r="E36" s="35"/>
      <c r="F36" s="3"/>
      <c r="G36" s="3"/>
      <c r="H36" s="3"/>
      <c r="I36" s="3"/>
      <c r="J36" s="3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12"/>
    </row>
    <row r="37" ht="15.75" customHeight="1">
      <c r="A37" s="30"/>
      <c r="B37" s="67">
        <v>207.0</v>
      </c>
      <c r="C37" s="90" t="s">
        <v>33</v>
      </c>
      <c r="D37" s="74">
        <f>SUMIF(Checkbook!$E$9:$E$519,B37,Checkbook!$F$9:$F$519)</f>
        <v>0</v>
      </c>
      <c r="E37" s="35"/>
      <c r="F37" s="3"/>
      <c r="G37" s="3"/>
      <c r="H37" s="3"/>
      <c r="I37" s="3"/>
      <c r="J37" s="3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12"/>
    </row>
    <row r="38" ht="15.75" customHeight="1">
      <c r="A38" s="30"/>
      <c r="B38" s="67">
        <v>208.0</v>
      </c>
      <c r="C38" s="67" t="s">
        <v>36</v>
      </c>
      <c r="D38" s="74">
        <f>SUMIF(Checkbook!$E$9:$E$519,B38,Checkbook!$F$9:$F$519)</f>
        <v>48.57</v>
      </c>
      <c r="E38" s="35"/>
      <c r="F38" s="3"/>
      <c r="G38" s="3"/>
      <c r="H38" s="3"/>
      <c r="I38" s="3"/>
      <c r="J38" s="3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12"/>
    </row>
    <row r="39" ht="15.75" customHeight="1">
      <c r="A39" s="30"/>
      <c r="B39" s="67">
        <v>209.0</v>
      </c>
      <c r="C39" s="67" t="s">
        <v>50</v>
      </c>
      <c r="D39" s="74">
        <f>SUMIF(Checkbook!$E$9:$E$519,B39,Checkbook!$F$9:$F$519)</f>
        <v>0</v>
      </c>
      <c r="E39" s="35"/>
      <c r="F39" s="3"/>
      <c r="G39" s="3"/>
      <c r="H39" s="3"/>
      <c r="I39" s="3"/>
      <c r="J39" s="3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12"/>
    </row>
    <row r="40" ht="15.75" customHeight="1">
      <c r="A40" s="30"/>
      <c r="B40" s="67">
        <v>210.0</v>
      </c>
      <c r="C40" s="67" t="s">
        <v>54</v>
      </c>
      <c r="D40" s="74">
        <f>SUMIF(Checkbook!$E$9:$E$519,B40,Checkbook!$F$9:$F$519)</f>
        <v>20.64</v>
      </c>
      <c r="E40" s="35"/>
      <c r="F40" s="3"/>
      <c r="G40" s="3"/>
      <c r="H40" s="3"/>
      <c r="I40" s="3"/>
      <c r="J40" s="3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12"/>
    </row>
    <row r="41" ht="15.75" customHeight="1">
      <c r="A41" s="30"/>
      <c r="B41" s="67">
        <v>211.0</v>
      </c>
      <c r="C41" s="90" t="s">
        <v>44</v>
      </c>
      <c r="D41" s="74">
        <f>SUMIF(Checkbook!$E$9:$E$519,B41,Checkbook!$F$9:$F$519)</f>
        <v>0</v>
      </c>
      <c r="E41" s="35"/>
      <c r="F41" s="3"/>
      <c r="G41" s="3"/>
      <c r="H41" s="3"/>
      <c r="I41" s="3"/>
      <c r="J41" s="3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12"/>
    </row>
    <row r="42" ht="15.75" customHeight="1">
      <c r="A42" s="30"/>
      <c r="B42" s="67">
        <v>212.0</v>
      </c>
      <c r="C42" s="90" t="s">
        <v>46</v>
      </c>
      <c r="D42" s="74">
        <f>SUMIF(Checkbook!$E$9:$E$519,B42,Checkbook!$F$9:$F$519)</f>
        <v>85.86</v>
      </c>
      <c r="E42" s="35"/>
      <c r="F42" s="3"/>
      <c r="G42" s="3"/>
      <c r="H42" s="3"/>
      <c r="I42" s="3"/>
      <c r="J42" s="3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12"/>
    </row>
    <row r="43" ht="15.75" customHeight="1">
      <c r="A43" s="30"/>
      <c r="B43" s="67">
        <v>213.0</v>
      </c>
      <c r="C43" s="67" t="s">
        <v>49</v>
      </c>
      <c r="D43" s="74">
        <f>SUMIF(Checkbook!$E$9:$E$519,B43,Checkbook!$F$9:$F$519)</f>
        <v>0</v>
      </c>
      <c r="E43" s="35"/>
      <c r="F43" s="3"/>
      <c r="G43" s="3"/>
      <c r="H43" s="3"/>
      <c r="I43" s="3"/>
      <c r="J43" s="3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12"/>
    </row>
    <row r="44" ht="15.75" customHeight="1">
      <c r="A44" s="30"/>
      <c r="B44" s="67">
        <v>214.0</v>
      </c>
      <c r="C44" s="90" t="s">
        <v>56</v>
      </c>
      <c r="D44" s="74">
        <f>SUMIF(Checkbook!$E$9:$E$519,B44,Checkbook!$F$9:$F$519)</f>
        <v>0</v>
      </c>
      <c r="E44" s="35"/>
      <c r="F44" s="3"/>
      <c r="G44" s="3"/>
      <c r="H44" s="3"/>
      <c r="I44" s="3"/>
      <c r="J44" s="3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12"/>
    </row>
    <row r="45" ht="15.75" customHeight="1">
      <c r="A45" s="30"/>
      <c r="B45" s="67">
        <v>215.0</v>
      </c>
      <c r="C45" s="90" t="s">
        <v>55</v>
      </c>
      <c r="D45" s="74">
        <f>SUMIF(Checkbook!$E$9:$E$519,B45,Checkbook!$F$9:$F$519)</f>
        <v>260</v>
      </c>
      <c r="E45" s="35"/>
      <c r="F45" s="3"/>
      <c r="G45" s="3"/>
      <c r="H45" s="3"/>
      <c r="I45" s="3"/>
      <c r="J45" s="3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12"/>
    </row>
    <row r="46" ht="15.75" customHeight="1">
      <c r="A46" s="30"/>
      <c r="B46" s="67">
        <v>216.0</v>
      </c>
      <c r="C46" s="67" t="s">
        <v>59</v>
      </c>
      <c r="D46" s="74">
        <f>SUMIF(Checkbook!$E$9:$E$519,B46,Checkbook!$F$9:$F$519)</f>
        <v>633.41</v>
      </c>
      <c r="E46" s="35"/>
      <c r="F46" s="3"/>
      <c r="G46" s="3"/>
      <c r="H46" s="3"/>
      <c r="I46" s="3"/>
      <c r="J46" s="3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12"/>
    </row>
    <row r="47" ht="15.75" customHeight="1">
      <c r="A47" s="30"/>
      <c r="B47" s="67">
        <v>217.0</v>
      </c>
      <c r="C47" s="90" t="s">
        <v>60</v>
      </c>
      <c r="D47" s="74">
        <f>SUMIF(Checkbook!$E$9:$E$519,B47,Checkbook!$F$9:$F$519)</f>
        <v>240</v>
      </c>
      <c r="E47" s="35"/>
      <c r="F47" s="3"/>
      <c r="G47" s="3"/>
      <c r="H47" s="3"/>
      <c r="I47" s="3"/>
      <c r="J47" s="3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12"/>
    </row>
    <row r="48" ht="15.75" customHeight="1">
      <c r="A48" s="30"/>
      <c r="B48" s="67">
        <v>218.0</v>
      </c>
      <c r="C48" s="67" t="s">
        <v>66</v>
      </c>
      <c r="D48" s="74">
        <f>SUMIF(Checkbook!$E$9:$E$519,B48,Checkbook!$F$9:$F$519)</f>
        <v>45</v>
      </c>
      <c r="E48" s="35"/>
      <c r="F48" s="3"/>
      <c r="G48" s="3"/>
      <c r="H48" s="3"/>
      <c r="I48" s="3"/>
      <c r="J48" s="3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12"/>
    </row>
    <row r="49" ht="15.75" customHeight="1">
      <c r="A49" s="30"/>
      <c r="B49" s="67">
        <v>220.0</v>
      </c>
      <c r="C49" s="67" t="s">
        <v>70</v>
      </c>
      <c r="D49" s="74">
        <f>SUMIF(Checkbook!$E$9:$E$519,B49,Checkbook!$F$9:$F$519)</f>
        <v>0</v>
      </c>
      <c r="E49" s="35"/>
      <c r="F49" s="3"/>
      <c r="G49" s="3"/>
      <c r="H49" s="3"/>
      <c r="I49" s="3"/>
      <c r="J49" s="3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12"/>
    </row>
    <row r="50" ht="15.75" customHeight="1">
      <c r="A50" s="30"/>
      <c r="B50" s="67">
        <v>221.0</v>
      </c>
      <c r="C50" s="90" t="s">
        <v>67</v>
      </c>
      <c r="D50" s="74">
        <f>SUMIF(Checkbook!$E$9:$E$519,B50,Checkbook!$F$9:$F$519)</f>
        <v>77</v>
      </c>
      <c r="E50" s="5"/>
      <c r="F50" s="3"/>
      <c r="G50" s="3"/>
      <c r="H50" s="3"/>
      <c r="I50" s="3"/>
      <c r="J50" s="3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12"/>
    </row>
    <row r="51" ht="15.75" customHeight="1">
      <c r="A51" s="119"/>
      <c r="B51" s="120"/>
      <c r="C51" s="120"/>
      <c r="D51" s="121"/>
      <c r="E51" s="122">
        <f>SUM(D27:D50)</f>
        <v>2709.04</v>
      </c>
      <c r="F51" s="3"/>
      <c r="G51" s="3"/>
      <c r="H51" s="3"/>
      <c r="I51" s="3"/>
      <c r="J51" s="3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12"/>
    </row>
    <row r="52" ht="15.75" customHeight="1">
      <c r="A52" s="30"/>
      <c r="B52" s="3"/>
      <c r="C52" s="3"/>
      <c r="D52" s="33"/>
      <c r="E52" s="35"/>
      <c r="F52" s="3"/>
      <c r="G52" s="3"/>
      <c r="H52" s="3"/>
      <c r="I52" s="3"/>
      <c r="J52" s="3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12"/>
    </row>
    <row r="53" ht="15.75" customHeight="1">
      <c r="A53" s="41" t="s">
        <v>92</v>
      </c>
      <c r="B53" s="123"/>
      <c r="C53" s="123"/>
      <c r="D53" s="124"/>
      <c r="E53" s="50">
        <f>E7+E27-E51</f>
        <v>812.97</v>
      </c>
      <c r="F53" s="3"/>
      <c r="G53" s="3"/>
      <c r="H53" s="3"/>
      <c r="I53" s="3"/>
      <c r="J53" s="3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12"/>
    </row>
    <row r="54" ht="15.75" customHeight="1">
      <c r="A54" s="3"/>
      <c r="B54" s="3"/>
      <c r="C54" s="3"/>
      <c r="D54" s="33"/>
      <c r="E54" s="35"/>
      <c r="F54" s="3"/>
      <c r="G54" s="3"/>
      <c r="H54" s="3"/>
      <c r="I54" s="3"/>
      <c r="J54" s="3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12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12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12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12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12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12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12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12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12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12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12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12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12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12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12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12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12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12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12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12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12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12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12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12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12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12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12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12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12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12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12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12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12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12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12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12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12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12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12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12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12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12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12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12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12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12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12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12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12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12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12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12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12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12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12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12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12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12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12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12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12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12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12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12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12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12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12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12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12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12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12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12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12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12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12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12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12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12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12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12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12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12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12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12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12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12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12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12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12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12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12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12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12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12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12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12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12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12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12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12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12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12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12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12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12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12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12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12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12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12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12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12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12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12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12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12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12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12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12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12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12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12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12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12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12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12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12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12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12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12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12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12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12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12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12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12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12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12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12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12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12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12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12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12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12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12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12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12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12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12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12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12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12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12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12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12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12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12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12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12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12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12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12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12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12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12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12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12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12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12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12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12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12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12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12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12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12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12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12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12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12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12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12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12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12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12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12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12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12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12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12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12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12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12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12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12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12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12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12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5">
    <mergeCell ref="A1:E1"/>
    <mergeCell ref="A2:E2"/>
    <mergeCell ref="A3:E3"/>
    <mergeCell ref="A4:E4"/>
    <mergeCell ref="A5:E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2" max="3" width="15.5"/>
    <col customWidth="1" min="4" max="6" width="14.5"/>
    <col customWidth="1" min="7" max="7" width="25.75"/>
    <col customWidth="1" min="8" max="8" width="13.0"/>
    <col customWidth="1" min="9" max="10" width="10.75"/>
    <col customWidth="1" min="11" max="11" width="11.63"/>
    <col customWidth="1" min="12" max="12" width="16.38"/>
  </cols>
  <sheetData>
    <row r="1" ht="28.5" customHeight="1">
      <c r="A1" s="154" t="s">
        <v>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6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57" t="s">
        <v>2</v>
      </c>
      <c r="L2" s="158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59" t="s">
        <v>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60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161" t="s">
        <v>94</v>
      </c>
      <c r="L4" s="158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162" t="s">
        <v>95</v>
      </c>
      <c r="B5" s="163" t="s">
        <v>96</v>
      </c>
      <c r="C5" s="162" t="s">
        <v>97</v>
      </c>
      <c r="D5" s="163" t="s">
        <v>98</v>
      </c>
      <c r="E5" s="162" t="s">
        <v>99</v>
      </c>
      <c r="F5" s="162" t="s">
        <v>100</v>
      </c>
      <c r="G5" s="164" t="s">
        <v>101</v>
      </c>
      <c r="H5" s="163" t="s">
        <v>102</v>
      </c>
      <c r="I5" s="165" t="s">
        <v>103</v>
      </c>
      <c r="J5" s="166" t="s">
        <v>104</v>
      </c>
      <c r="K5" s="165" t="s">
        <v>105</v>
      </c>
      <c r="L5" s="167" t="s">
        <v>106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38"/>
      <c r="B6" s="168"/>
      <c r="C6" s="168"/>
      <c r="D6" s="169"/>
      <c r="E6" s="168"/>
      <c r="F6" s="168"/>
      <c r="G6" s="168"/>
      <c r="H6" s="170"/>
      <c r="I6" s="168"/>
      <c r="J6" s="168"/>
      <c r="K6" s="171"/>
      <c r="L6" s="17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173"/>
      <c r="B7" s="174"/>
      <c r="C7" s="175"/>
      <c r="D7" s="176"/>
      <c r="E7" s="176"/>
      <c r="F7" s="176"/>
      <c r="G7" s="175"/>
      <c r="H7" s="177"/>
      <c r="I7" s="5"/>
      <c r="J7" s="5"/>
      <c r="K7" s="178"/>
      <c r="L7" s="178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179"/>
      <c r="B8" s="180"/>
      <c r="C8" s="181"/>
      <c r="D8" s="182"/>
      <c r="E8" s="182"/>
      <c r="F8" s="182"/>
      <c r="G8" s="183"/>
      <c r="H8" s="184"/>
      <c r="I8" s="185"/>
      <c r="J8" s="185"/>
      <c r="K8" s="186"/>
      <c r="L8" s="178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</row>
    <row r="9" ht="12.75" customHeight="1">
      <c r="A9" s="179"/>
      <c r="B9" s="180"/>
      <c r="C9" s="181"/>
      <c r="D9" s="187"/>
      <c r="E9" s="187"/>
      <c r="F9" s="187"/>
      <c r="G9" s="181"/>
      <c r="H9" s="188"/>
      <c r="I9" s="185"/>
      <c r="J9" s="185"/>
      <c r="K9" s="186"/>
      <c r="L9" s="186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</row>
    <row r="10" ht="12.75" customHeight="1">
      <c r="A10" s="179"/>
      <c r="B10" s="174"/>
      <c r="C10" s="175"/>
      <c r="D10" s="176"/>
      <c r="E10" s="176"/>
      <c r="F10" s="176"/>
      <c r="G10" s="175"/>
      <c r="H10" s="177"/>
      <c r="I10" s="5"/>
      <c r="J10" s="5"/>
      <c r="K10" s="178"/>
      <c r="L10" s="178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79"/>
      <c r="B11" s="174"/>
      <c r="C11" s="175"/>
      <c r="D11" s="176"/>
      <c r="E11" s="176"/>
      <c r="F11" s="176"/>
      <c r="G11" s="175"/>
      <c r="H11" s="177"/>
      <c r="I11" s="5"/>
      <c r="J11" s="5"/>
      <c r="K11" s="178"/>
      <c r="L11" s="178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73"/>
      <c r="B12" s="174"/>
      <c r="C12" s="175"/>
      <c r="D12" s="176"/>
      <c r="E12" s="176"/>
      <c r="F12" s="176"/>
      <c r="G12" s="175"/>
      <c r="H12" s="177"/>
      <c r="I12" s="5"/>
      <c r="J12" s="5"/>
      <c r="K12" s="178"/>
      <c r="L12" s="178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73"/>
      <c r="B13" s="174"/>
      <c r="C13" s="175"/>
      <c r="D13" s="176"/>
      <c r="E13" s="176"/>
      <c r="F13" s="176"/>
      <c r="G13" s="175"/>
      <c r="H13" s="177"/>
      <c r="I13" s="5"/>
      <c r="J13" s="5"/>
      <c r="K13" s="178"/>
      <c r="L13" s="178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73"/>
      <c r="B14" s="174"/>
      <c r="C14" s="175"/>
      <c r="D14" s="176"/>
      <c r="E14" s="176"/>
      <c r="F14" s="176"/>
      <c r="G14" s="175"/>
      <c r="H14" s="177"/>
      <c r="I14" s="5"/>
      <c r="J14" s="5"/>
      <c r="K14" s="178"/>
      <c r="L14" s="178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73"/>
      <c r="B15" s="174"/>
      <c r="C15" s="175"/>
      <c r="D15" s="176"/>
      <c r="E15" s="176"/>
      <c r="F15" s="176"/>
      <c r="G15" s="175"/>
      <c r="H15" s="177"/>
      <c r="I15" s="5"/>
      <c r="J15" s="5"/>
      <c r="K15" s="178"/>
      <c r="L15" s="178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92"/>
      <c r="B16" s="168"/>
      <c r="C16" s="5"/>
      <c r="D16" s="189"/>
      <c r="E16" s="5"/>
      <c r="F16" s="5"/>
      <c r="G16" s="5"/>
      <c r="H16" s="190"/>
      <c r="I16" s="5"/>
      <c r="J16" s="5"/>
      <c r="K16" s="178"/>
      <c r="L16" s="17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92"/>
      <c r="B17" s="168"/>
      <c r="C17" s="5"/>
      <c r="D17" s="189"/>
      <c r="E17" s="5"/>
      <c r="F17" s="5"/>
      <c r="G17" s="5"/>
      <c r="H17" s="190"/>
      <c r="I17" s="5"/>
      <c r="J17" s="5"/>
      <c r="K17" s="172"/>
      <c r="L17" s="17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92"/>
      <c r="B18" s="168"/>
      <c r="C18" s="5"/>
      <c r="D18" s="189"/>
      <c r="E18" s="5"/>
      <c r="F18" s="5"/>
      <c r="G18" s="5"/>
      <c r="H18" s="190"/>
      <c r="I18" s="5"/>
      <c r="J18" s="5"/>
      <c r="K18" s="172"/>
      <c r="L18" s="17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92"/>
      <c r="B19" s="168"/>
      <c r="C19" s="5"/>
      <c r="D19" s="189"/>
      <c r="E19" s="5"/>
      <c r="F19" s="5"/>
      <c r="G19" s="5"/>
      <c r="H19" s="190"/>
      <c r="I19" s="5"/>
      <c r="J19" s="5"/>
      <c r="K19" s="172"/>
      <c r="L19" s="17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92"/>
      <c r="B20" s="168"/>
      <c r="C20" s="5"/>
      <c r="D20" s="189"/>
      <c r="E20" s="5"/>
      <c r="F20" s="5"/>
      <c r="G20" s="5"/>
      <c r="H20" s="190"/>
      <c r="I20" s="5"/>
      <c r="J20" s="5"/>
      <c r="K20" s="172"/>
      <c r="L20" s="17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92"/>
      <c r="B21" s="168"/>
      <c r="C21" s="5"/>
      <c r="D21" s="189"/>
      <c r="E21" s="5"/>
      <c r="F21" s="5"/>
      <c r="G21" s="5"/>
      <c r="H21" s="190"/>
      <c r="I21" s="5"/>
      <c r="J21" s="5"/>
      <c r="K21" s="172"/>
      <c r="L21" s="17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92"/>
      <c r="B22" s="168"/>
      <c r="C22" s="5"/>
      <c r="D22" s="189"/>
      <c r="E22" s="5"/>
      <c r="F22" s="5"/>
      <c r="G22" s="5"/>
      <c r="H22" s="190"/>
      <c r="I22" s="5"/>
      <c r="J22" s="5"/>
      <c r="K22" s="172"/>
      <c r="L22" s="17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92"/>
      <c r="B23" s="168"/>
      <c r="C23" s="5"/>
      <c r="D23" s="189"/>
      <c r="E23" s="5"/>
      <c r="F23" s="5"/>
      <c r="G23" s="5"/>
      <c r="H23" s="190"/>
      <c r="I23" s="5"/>
      <c r="J23" s="5"/>
      <c r="K23" s="172"/>
      <c r="L23" s="17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92"/>
      <c r="B24" s="5"/>
      <c r="C24" s="5"/>
      <c r="D24" s="189"/>
      <c r="E24" s="5"/>
      <c r="F24" s="5"/>
      <c r="G24" s="5"/>
      <c r="H24" s="190"/>
      <c r="I24" s="5"/>
      <c r="J24" s="5"/>
      <c r="K24" s="172"/>
      <c r="L24" s="17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92"/>
      <c r="B25" s="5"/>
      <c r="C25" s="5"/>
      <c r="D25" s="189"/>
      <c r="E25" s="5"/>
      <c r="F25" s="5"/>
      <c r="G25" s="5"/>
      <c r="H25" s="190"/>
      <c r="I25" s="5"/>
      <c r="J25" s="5"/>
      <c r="K25" s="172"/>
      <c r="L25" s="17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92"/>
      <c r="B26" s="5"/>
      <c r="C26" s="5"/>
      <c r="D26" s="189"/>
      <c r="E26" s="5"/>
      <c r="F26" s="5"/>
      <c r="G26" s="5"/>
      <c r="H26" s="190"/>
      <c r="I26" s="5"/>
      <c r="J26" s="5"/>
      <c r="K26" s="172"/>
      <c r="L26" s="17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92"/>
      <c r="B27" s="5"/>
      <c r="C27" s="5"/>
      <c r="D27" s="189"/>
      <c r="E27" s="5"/>
      <c r="F27" s="5"/>
      <c r="G27" s="5"/>
      <c r="H27" s="190"/>
      <c r="I27" s="5"/>
      <c r="J27" s="5"/>
      <c r="K27" s="172"/>
      <c r="L27" s="17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92"/>
      <c r="B28" s="5"/>
      <c r="C28" s="5"/>
      <c r="D28" s="189"/>
      <c r="E28" s="5"/>
      <c r="F28" s="5"/>
      <c r="G28" s="5"/>
      <c r="H28" s="190"/>
      <c r="I28" s="5"/>
      <c r="J28" s="5"/>
      <c r="K28" s="172"/>
      <c r="L28" s="17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92"/>
      <c r="B29" s="5"/>
      <c r="C29" s="5"/>
      <c r="D29" s="189"/>
      <c r="E29" s="5"/>
      <c r="F29" s="5"/>
      <c r="G29" s="5"/>
      <c r="H29" s="190"/>
      <c r="I29" s="5"/>
      <c r="J29" s="5"/>
      <c r="K29" s="172"/>
      <c r="L29" s="17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92"/>
      <c r="B30" s="5"/>
      <c r="C30" s="5"/>
      <c r="D30" s="189"/>
      <c r="E30" s="5"/>
      <c r="F30" s="5"/>
      <c r="G30" s="5"/>
      <c r="H30" s="190"/>
      <c r="I30" s="5"/>
      <c r="J30" s="5"/>
      <c r="K30" s="172"/>
      <c r="L30" s="17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92"/>
      <c r="B31" s="5"/>
      <c r="C31" s="5"/>
      <c r="D31" s="189"/>
      <c r="E31" s="5"/>
      <c r="F31" s="5"/>
      <c r="G31" s="5"/>
      <c r="H31" s="190"/>
      <c r="I31" s="5"/>
      <c r="J31" s="5"/>
      <c r="K31" s="172"/>
      <c r="L31" s="17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92"/>
      <c r="B32" s="5"/>
      <c r="C32" s="5"/>
      <c r="D32" s="189"/>
      <c r="E32" s="5"/>
      <c r="F32" s="5"/>
      <c r="G32" s="5"/>
      <c r="H32" s="190"/>
      <c r="I32" s="5"/>
      <c r="J32" s="5"/>
      <c r="K32" s="172"/>
      <c r="L32" s="17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92"/>
      <c r="B33" s="5"/>
      <c r="C33" s="5"/>
      <c r="D33" s="189"/>
      <c r="E33" s="5"/>
      <c r="F33" s="5"/>
      <c r="G33" s="5"/>
      <c r="H33" s="190"/>
      <c r="I33" s="5"/>
      <c r="J33" s="5"/>
      <c r="K33" s="172"/>
      <c r="L33" s="17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92"/>
      <c r="B34" s="5"/>
      <c r="C34" s="5"/>
      <c r="D34" s="189"/>
      <c r="E34" s="5"/>
      <c r="F34" s="5"/>
      <c r="G34" s="5"/>
      <c r="H34" s="190"/>
      <c r="I34" s="5"/>
      <c r="J34" s="5"/>
      <c r="K34" s="172"/>
      <c r="L34" s="17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92"/>
      <c r="B35" s="5"/>
      <c r="C35" s="5"/>
      <c r="D35" s="189"/>
      <c r="E35" s="5"/>
      <c r="F35" s="5"/>
      <c r="G35" s="5"/>
      <c r="H35" s="190"/>
      <c r="I35" s="5"/>
      <c r="J35" s="5"/>
      <c r="K35" s="172"/>
      <c r="L35" s="17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91"/>
      <c r="B36" s="192"/>
      <c r="C36" s="192"/>
      <c r="D36" s="193"/>
      <c r="E36" s="192"/>
      <c r="F36" s="192"/>
      <c r="G36" s="192"/>
      <c r="H36" s="194"/>
      <c r="I36" s="192"/>
      <c r="J36" s="192"/>
      <c r="K36" s="195"/>
      <c r="L36" s="195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92"/>
      <c r="B37" s="5"/>
      <c r="C37" s="5"/>
      <c r="D37" s="189"/>
      <c r="E37" s="5"/>
      <c r="F37" s="5"/>
      <c r="G37" s="5"/>
      <c r="H37" s="190"/>
      <c r="I37" s="5"/>
      <c r="J37" s="5"/>
      <c r="K37" s="172"/>
      <c r="L37" s="5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92"/>
      <c r="B38" s="5"/>
      <c r="C38" s="5"/>
      <c r="D38" s="189"/>
      <c r="E38" s="5"/>
      <c r="F38" s="5"/>
      <c r="G38" s="5"/>
      <c r="H38" s="190"/>
      <c r="I38" s="5"/>
      <c r="J38" s="5"/>
      <c r="K38" s="172"/>
      <c r="L38" s="5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92"/>
      <c r="B39" s="5"/>
      <c r="C39" s="5"/>
      <c r="D39" s="189"/>
      <c r="E39" s="5"/>
      <c r="F39" s="5"/>
      <c r="G39" s="5"/>
      <c r="H39" s="5"/>
      <c r="I39" s="5"/>
      <c r="J39" s="5"/>
      <c r="K39" s="172"/>
      <c r="L39" s="5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92"/>
      <c r="B40" s="5"/>
      <c r="C40" s="5"/>
      <c r="D40" s="189"/>
      <c r="E40" s="5"/>
      <c r="F40" s="5"/>
      <c r="G40" s="5"/>
      <c r="H40" s="5"/>
      <c r="I40" s="5"/>
      <c r="J40" s="5"/>
      <c r="K40" s="172"/>
      <c r="L40" s="5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92"/>
      <c r="B41" s="5"/>
      <c r="C41" s="5"/>
      <c r="D41" s="189"/>
      <c r="E41" s="5"/>
      <c r="F41" s="5"/>
      <c r="G41" s="5"/>
      <c r="H41" s="5"/>
      <c r="I41" s="5"/>
      <c r="J41" s="5"/>
      <c r="K41" s="172"/>
      <c r="L41" s="5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92"/>
      <c r="B42" s="5"/>
      <c r="C42" s="5"/>
      <c r="D42" s="189"/>
      <c r="E42" s="5"/>
      <c r="F42" s="5"/>
      <c r="G42" s="5"/>
      <c r="H42" s="5"/>
      <c r="I42" s="5"/>
      <c r="J42" s="5"/>
      <c r="K42" s="172"/>
      <c r="L42" s="5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92"/>
      <c r="B43" s="5"/>
      <c r="C43" s="5"/>
      <c r="D43" s="189"/>
      <c r="E43" s="5"/>
      <c r="F43" s="5"/>
      <c r="G43" s="5"/>
      <c r="H43" s="5"/>
      <c r="I43" s="5"/>
      <c r="J43" s="5"/>
      <c r="K43" s="172"/>
      <c r="L43" s="5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92"/>
      <c r="B44" s="5"/>
      <c r="C44" s="5"/>
      <c r="D44" s="189"/>
      <c r="E44" s="5"/>
      <c r="F44" s="5"/>
      <c r="G44" s="5"/>
      <c r="H44" s="5"/>
      <c r="I44" s="5"/>
      <c r="J44" s="5"/>
      <c r="K44" s="172"/>
      <c r="L44" s="5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92"/>
      <c r="B45" s="5"/>
      <c r="C45" s="5"/>
      <c r="D45" s="189"/>
      <c r="E45" s="5"/>
      <c r="F45" s="5"/>
      <c r="G45" s="5"/>
      <c r="H45" s="5"/>
      <c r="I45" s="5"/>
      <c r="J45" s="5"/>
      <c r="K45" s="172"/>
      <c r="L45" s="5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92"/>
      <c r="B46" s="5"/>
      <c r="C46" s="5"/>
      <c r="D46" s="189"/>
      <c r="E46" s="5"/>
      <c r="F46" s="5"/>
      <c r="G46" s="5"/>
      <c r="H46" s="5"/>
      <c r="I46" s="5"/>
      <c r="J46" s="5"/>
      <c r="K46" s="172"/>
      <c r="L46" s="5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92"/>
      <c r="B47" s="5"/>
      <c r="C47" s="5"/>
      <c r="D47" s="189"/>
      <c r="E47" s="5"/>
      <c r="F47" s="5"/>
      <c r="G47" s="5"/>
      <c r="H47" s="5"/>
      <c r="I47" s="5"/>
      <c r="J47" s="5"/>
      <c r="K47" s="172"/>
      <c r="L47" s="5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92"/>
      <c r="B48" s="5"/>
      <c r="C48" s="5"/>
      <c r="D48" s="189"/>
      <c r="E48" s="5"/>
      <c r="F48" s="5"/>
      <c r="G48" s="5"/>
      <c r="H48" s="5"/>
      <c r="I48" s="5"/>
      <c r="J48" s="5"/>
      <c r="K48" s="172"/>
      <c r="L48" s="5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92"/>
      <c r="B49" s="5"/>
      <c r="C49" s="5"/>
      <c r="D49" s="189"/>
      <c r="E49" s="5"/>
      <c r="F49" s="5"/>
      <c r="G49" s="5"/>
      <c r="H49" s="5"/>
      <c r="I49" s="5"/>
      <c r="J49" s="5"/>
      <c r="K49" s="172"/>
      <c r="L49" s="5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91"/>
      <c r="B50" s="192"/>
      <c r="C50" s="192"/>
      <c r="D50" s="193"/>
      <c r="E50" s="192"/>
      <c r="F50" s="192"/>
      <c r="G50" s="192"/>
      <c r="H50" s="192"/>
      <c r="I50" s="192"/>
      <c r="J50" s="192"/>
      <c r="K50" s="195"/>
      <c r="L50" s="5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5"/>
      <c r="B51" s="5"/>
      <c r="C51" s="5"/>
      <c r="D51" s="189"/>
      <c r="E51" s="5"/>
      <c r="F51" s="5"/>
      <c r="G51" s="5"/>
      <c r="H51" s="5"/>
      <c r="I51" s="5"/>
      <c r="J51" s="5"/>
      <c r="K51" s="5"/>
      <c r="L51" s="5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5"/>
      <c r="B52" s="5"/>
      <c r="C52" s="5"/>
      <c r="D52" s="189"/>
      <c r="E52" s="5"/>
      <c r="F52" s="5"/>
      <c r="G52" s="5"/>
      <c r="H52" s="5"/>
      <c r="I52" s="5"/>
      <c r="J52" s="5"/>
      <c r="K52" s="5"/>
      <c r="L52" s="5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5"/>
      <c r="B53" s="5"/>
      <c r="C53" s="5"/>
      <c r="D53" s="189"/>
      <c r="E53" s="5"/>
      <c r="F53" s="5"/>
      <c r="G53" s="5"/>
      <c r="H53" s="5"/>
      <c r="I53" s="5"/>
      <c r="J53" s="5"/>
      <c r="K53" s="5"/>
      <c r="L53" s="5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5"/>
      <c r="B54" s="5"/>
      <c r="C54" s="5"/>
      <c r="D54" s="189"/>
      <c r="E54" s="5"/>
      <c r="F54" s="5"/>
      <c r="G54" s="5"/>
      <c r="H54" s="5"/>
      <c r="I54" s="5"/>
      <c r="J54" s="5"/>
      <c r="K54" s="5"/>
      <c r="L54" s="5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5"/>
      <c r="B55" s="5"/>
      <c r="C55" s="5"/>
      <c r="D55" s="189"/>
      <c r="E55" s="5"/>
      <c r="F55" s="5"/>
      <c r="G55" s="5"/>
      <c r="H55" s="5"/>
      <c r="I55" s="5"/>
      <c r="J55" s="5"/>
      <c r="K55" s="5"/>
      <c r="L55" s="5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5"/>
      <c r="B56" s="5"/>
      <c r="C56" s="5"/>
      <c r="D56" s="189"/>
      <c r="E56" s="5"/>
      <c r="F56" s="5"/>
      <c r="G56" s="5"/>
      <c r="H56" s="5"/>
      <c r="I56" s="5"/>
      <c r="J56" s="5"/>
      <c r="K56" s="5"/>
      <c r="L56" s="5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5"/>
      <c r="B57" s="5"/>
      <c r="C57" s="5"/>
      <c r="D57" s="189"/>
      <c r="E57" s="5"/>
      <c r="F57" s="5"/>
      <c r="G57" s="5"/>
      <c r="H57" s="5"/>
      <c r="I57" s="5"/>
      <c r="J57" s="5"/>
      <c r="K57" s="5"/>
      <c r="L57" s="5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5"/>
      <c r="B58" s="5"/>
      <c r="C58" s="5"/>
      <c r="D58" s="189"/>
      <c r="E58" s="5"/>
      <c r="F58" s="5"/>
      <c r="G58" s="5"/>
      <c r="H58" s="5"/>
      <c r="I58" s="5"/>
      <c r="J58" s="5"/>
      <c r="K58" s="5"/>
      <c r="L58" s="5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5"/>
      <c r="B59" s="5"/>
      <c r="C59" s="5"/>
      <c r="D59" s="189"/>
      <c r="E59" s="5"/>
      <c r="F59" s="5"/>
      <c r="G59" s="5"/>
      <c r="H59" s="5"/>
      <c r="I59" s="5"/>
      <c r="J59" s="5"/>
      <c r="K59" s="5"/>
      <c r="L59" s="5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5"/>
      <c r="B60" s="5"/>
      <c r="C60" s="5"/>
      <c r="D60" s="189"/>
      <c r="E60" s="5"/>
      <c r="F60" s="5"/>
      <c r="G60" s="5"/>
      <c r="H60" s="5"/>
      <c r="I60" s="5"/>
      <c r="J60" s="5"/>
      <c r="K60" s="5"/>
      <c r="L60" s="5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5"/>
      <c r="B61" s="5"/>
      <c r="C61" s="5"/>
      <c r="D61" s="189"/>
      <c r="E61" s="5"/>
      <c r="F61" s="5"/>
      <c r="G61" s="5"/>
      <c r="H61" s="5"/>
      <c r="I61" s="5"/>
      <c r="J61" s="5"/>
      <c r="K61" s="5"/>
      <c r="L61" s="5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5"/>
      <c r="B62" s="5"/>
      <c r="C62" s="5"/>
      <c r="D62" s="189"/>
      <c r="E62" s="5"/>
      <c r="F62" s="5"/>
      <c r="G62" s="5"/>
      <c r="H62" s="5"/>
      <c r="I62" s="5"/>
      <c r="J62" s="5"/>
      <c r="K62" s="5"/>
      <c r="L62" s="5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5"/>
      <c r="B63" s="5"/>
      <c r="C63" s="5"/>
      <c r="D63" s="189"/>
      <c r="E63" s="5"/>
      <c r="F63" s="5"/>
      <c r="G63" s="5"/>
      <c r="H63" s="5"/>
      <c r="I63" s="5"/>
      <c r="J63" s="5"/>
      <c r="K63" s="5"/>
      <c r="L63" s="5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5"/>
      <c r="B64" s="5"/>
      <c r="C64" s="5"/>
      <c r="D64" s="189"/>
      <c r="E64" s="5"/>
      <c r="F64" s="5"/>
      <c r="G64" s="5"/>
      <c r="H64" s="5"/>
      <c r="I64" s="5"/>
      <c r="J64" s="5"/>
      <c r="K64" s="5"/>
      <c r="L64" s="5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5"/>
      <c r="B65" s="5"/>
      <c r="C65" s="5"/>
      <c r="D65" s="189"/>
      <c r="E65" s="5"/>
      <c r="F65" s="5"/>
      <c r="G65" s="5"/>
      <c r="H65" s="5"/>
      <c r="I65" s="5"/>
      <c r="J65" s="5"/>
      <c r="K65" s="5"/>
      <c r="L65" s="5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5"/>
      <c r="B66" s="5"/>
      <c r="C66" s="5"/>
      <c r="D66" s="189"/>
      <c r="E66" s="5"/>
      <c r="F66" s="5"/>
      <c r="G66" s="5"/>
      <c r="H66" s="5"/>
      <c r="I66" s="5"/>
      <c r="J66" s="5"/>
      <c r="K66" s="5"/>
      <c r="L66" s="5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5"/>
      <c r="B67" s="5"/>
      <c r="C67" s="5"/>
      <c r="D67" s="189"/>
      <c r="E67" s="5"/>
      <c r="F67" s="5"/>
      <c r="G67" s="5"/>
      <c r="H67" s="5"/>
      <c r="I67" s="5"/>
      <c r="J67" s="5"/>
      <c r="K67" s="5"/>
      <c r="L67" s="5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5"/>
      <c r="B68" s="5"/>
      <c r="C68" s="5"/>
      <c r="D68" s="189"/>
      <c r="E68" s="5"/>
      <c r="F68" s="5"/>
      <c r="G68" s="5"/>
      <c r="H68" s="5"/>
      <c r="I68" s="5"/>
      <c r="J68" s="5"/>
      <c r="K68" s="5"/>
      <c r="L68" s="5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5"/>
      <c r="B69" s="5"/>
      <c r="C69" s="5"/>
      <c r="D69" s="189"/>
      <c r="E69" s="5"/>
      <c r="F69" s="5"/>
      <c r="G69" s="5"/>
      <c r="H69" s="5"/>
      <c r="I69" s="5"/>
      <c r="J69" s="5"/>
      <c r="K69" s="5"/>
      <c r="L69" s="5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5"/>
      <c r="B70" s="5"/>
      <c r="C70" s="5"/>
      <c r="D70" s="189"/>
      <c r="E70" s="5"/>
      <c r="F70" s="5"/>
      <c r="G70" s="5"/>
      <c r="H70" s="5"/>
      <c r="I70" s="5"/>
      <c r="J70" s="5"/>
      <c r="K70" s="5"/>
      <c r="L70" s="5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5"/>
      <c r="B71" s="5"/>
      <c r="C71" s="5"/>
      <c r="D71" s="189"/>
      <c r="E71" s="5"/>
      <c r="F71" s="5"/>
      <c r="G71" s="5"/>
      <c r="H71" s="5"/>
      <c r="I71" s="5"/>
      <c r="J71" s="5"/>
      <c r="K71" s="5"/>
      <c r="L71" s="5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5"/>
      <c r="B72" s="5"/>
      <c r="C72" s="5"/>
      <c r="D72" s="189"/>
      <c r="E72" s="5"/>
      <c r="F72" s="5"/>
      <c r="G72" s="5"/>
      <c r="H72" s="5"/>
      <c r="I72" s="5"/>
      <c r="J72" s="5"/>
      <c r="K72" s="5"/>
      <c r="L72" s="5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5"/>
      <c r="B73" s="5"/>
      <c r="C73" s="5"/>
      <c r="D73" s="189"/>
      <c r="E73" s="5"/>
      <c r="F73" s="5"/>
      <c r="G73" s="5"/>
      <c r="H73" s="5"/>
      <c r="I73" s="5"/>
      <c r="J73" s="5"/>
      <c r="K73" s="5"/>
      <c r="L73" s="5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5"/>
      <c r="B74" s="5"/>
      <c r="C74" s="5"/>
      <c r="D74" s="189"/>
      <c r="E74" s="5"/>
      <c r="F74" s="5"/>
      <c r="G74" s="5"/>
      <c r="H74" s="5"/>
      <c r="I74" s="5"/>
      <c r="J74" s="5"/>
      <c r="K74" s="5"/>
      <c r="L74" s="5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5"/>
      <c r="B75" s="5"/>
      <c r="C75" s="5"/>
      <c r="D75" s="189"/>
      <c r="E75" s="5"/>
      <c r="F75" s="5"/>
      <c r="G75" s="5"/>
      <c r="H75" s="5"/>
      <c r="I75" s="5"/>
      <c r="J75" s="5"/>
      <c r="K75" s="5"/>
      <c r="L75" s="5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5"/>
      <c r="B76" s="5"/>
      <c r="C76" s="5"/>
      <c r="D76" s="189"/>
      <c r="E76" s="5"/>
      <c r="F76" s="5"/>
      <c r="G76" s="5"/>
      <c r="H76" s="5"/>
      <c r="I76" s="5"/>
      <c r="J76" s="5"/>
      <c r="K76" s="5"/>
      <c r="L76" s="5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5"/>
      <c r="B77" s="5"/>
      <c r="C77" s="5"/>
      <c r="D77" s="189"/>
      <c r="E77" s="5"/>
      <c r="F77" s="5"/>
      <c r="G77" s="5"/>
      <c r="H77" s="5"/>
      <c r="I77" s="5"/>
      <c r="J77" s="5"/>
      <c r="K77" s="5"/>
      <c r="L77" s="5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5"/>
      <c r="B78" s="5"/>
      <c r="C78" s="5"/>
      <c r="D78" s="189"/>
      <c r="E78" s="5"/>
      <c r="F78" s="5"/>
      <c r="G78" s="5"/>
      <c r="H78" s="5"/>
      <c r="I78" s="5"/>
      <c r="J78" s="5"/>
      <c r="K78" s="5"/>
      <c r="L78" s="5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5"/>
      <c r="B79" s="5"/>
      <c r="C79" s="5"/>
      <c r="D79" s="189"/>
      <c r="E79" s="5"/>
      <c r="F79" s="5"/>
      <c r="G79" s="5"/>
      <c r="H79" s="5"/>
      <c r="I79" s="5"/>
      <c r="J79" s="5"/>
      <c r="K79" s="5"/>
      <c r="L79" s="5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5"/>
      <c r="B80" s="5"/>
      <c r="C80" s="5"/>
      <c r="D80" s="189"/>
      <c r="E80" s="5"/>
      <c r="F80" s="5"/>
      <c r="G80" s="5"/>
      <c r="H80" s="5"/>
      <c r="I80" s="5"/>
      <c r="J80" s="5"/>
      <c r="K80" s="5"/>
      <c r="L80" s="5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5"/>
      <c r="B81" s="5"/>
      <c r="C81" s="5"/>
      <c r="D81" s="189"/>
      <c r="E81" s="5"/>
      <c r="F81" s="5"/>
      <c r="G81" s="5"/>
      <c r="H81" s="5"/>
      <c r="I81" s="5"/>
      <c r="J81" s="5"/>
      <c r="K81" s="5"/>
      <c r="L81" s="5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5"/>
      <c r="B82" s="5"/>
      <c r="C82" s="5"/>
      <c r="D82" s="189"/>
      <c r="E82" s="5"/>
      <c r="F82" s="5"/>
      <c r="G82" s="5"/>
      <c r="H82" s="5"/>
      <c r="I82" s="5"/>
      <c r="J82" s="5"/>
      <c r="K82" s="5"/>
      <c r="L82" s="5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5"/>
      <c r="B83" s="5"/>
      <c r="C83" s="5"/>
      <c r="D83" s="189"/>
      <c r="E83" s="5"/>
      <c r="F83" s="5"/>
      <c r="G83" s="5"/>
      <c r="H83" s="5"/>
      <c r="I83" s="5"/>
      <c r="J83" s="5"/>
      <c r="K83" s="5"/>
      <c r="L83" s="5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5"/>
      <c r="B84" s="5"/>
      <c r="C84" s="5"/>
      <c r="D84" s="189"/>
      <c r="E84" s="5"/>
      <c r="F84" s="5"/>
      <c r="G84" s="5"/>
      <c r="H84" s="5"/>
      <c r="I84" s="5"/>
      <c r="J84" s="5"/>
      <c r="K84" s="5"/>
      <c r="L84" s="5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5"/>
      <c r="B85" s="5"/>
      <c r="C85" s="5"/>
      <c r="D85" s="189"/>
      <c r="E85" s="5"/>
      <c r="F85" s="5"/>
      <c r="G85" s="5"/>
      <c r="H85" s="5"/>
      <c r="I85" s="5"/>
      <c r="J85" s="5"/>
      <c r="K85" s="5"/>
      <c r="L85" s="5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5"/>
      <c r="B86" s="5"/>
      <c r="C86" s="5"/>
      <c r="D86" s="189"/>
      <c r="E86" s="5"/>
      <c r="F86" s="5"/>
      <c r="G86" s="5"/>
      <c r="H86" s="5"/>
      <c r="I86" s="5"/>
      <c r="J86" s="5"/>
      <c r="K86" s="5"/>
      <c r="L86" s="5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5"/>
      <c r="B87" s="5"/>
      <c r="C87" s="5"/>
      <c r="D87" s="189"/>
      <c r="E87" s="5"/>
      <c r="F87" s="5"/>
      <c r="G87" s="5"/>
      <c r="H87" s="5"/>
      <c r="I87" s="5"/>
      <c r="J87" s="5"/>
      <c r="K87" s="5"/>
      <c r="L87" s="5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5"/>
      <c r="B88" s="5"/>
      <c r="C88" s="5"/>
      <c r="D88" s="189"/>
      <c r="E88" s="5"/>
      <c r="F88" s="5"/>
      <c r="G88" s="5"/>
      <c r="H88" s="5"/>
      <c r="I88" s="5"/>
      <c r="J88" s="5"/>
      <c r="K88" s="5"/>
      <c r="L88" s="5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5"/>
      <c r="B89" s="5"/>
      <c r="C89" s="5"/>
      <c r="D89" s="189"/>
      <c r="E89" s="5"/>
      <c r="F89" s="5"/>
      <c r="G89" s="5"/>
      <c r="H89" s="5"/>
      <c r="I89" s="5"/>
      <c r="J89" s="5"/>
      <c r="K89" s="5"/>
      <c r="L89" s="5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5"/>
      <c r="B90" s="5"/>
      <c r="C90" s="5"/>
      <c r="D90" s="189"/>
      <c r="E90" s="5"/>
      <c r="F90" s="5"/>
      <c r="G90" s="5"/>
      <c r="H90" s="5"/>
      <c r="I90" s="5"/>
      <c r="J90" s="5"/>
      <c r="K90" s="5"/>
      <c r="L90" s="5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5"/>
      <c r="B91" s="5"/>
      <c r="C91" s="5"/>
      <c r="D91" s="189"/>
      <c r="E91" s="5"/>
      <c r="F91" s="5"/>
      <c r="G91" s="5"/>
      <c r="H91" s="5"/>
      <c r="I91" s="5"/>
      <c r="J91" s="5"/>
      <c r="K91" s="5"/>
      <c r="L91" s="5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5"/>
      <c r="B92" s="5"/>
      <c r="C92" s="5"/>
      <c r="D92" s="189"/>
      <c r="E92" s="5"/>
      <c r="F92" s="5"/>
      <c r="G92" s="5"/>
      <c r="H92" s="5"/>
      <c r="I92" s="5"/>
      <c r="J92" s="5"/>
      <c r="K92" s="5"/>
      <c r="L92" s="5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5"/>
      <c r="B93" s="5"/>
      <c r="C93" s="5"/>
      <c r="D93" s="189"/>
      <c r="E93" s="5"/>
      <c r="F93" s="5"/>
      <c r="G93" s="5"/>
      <c r="H93" s="5"/>
      <c r="I93" s="5"/>
      <c r="J93" s="5"/>
      <c r="K93" s="5"/>
      <c r="L93" s="5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5"/>
      <c r="B94" s="5"/>
      <c r="C94" s="5"/>
      <c r="D94" s="189"/>
      <c r="E94" s="5"/>
      <c r="F94" s="5"/>
      <c r="G94" s="5"/>
      <c r="H94" s="5"/>
      <c r="I94" s="5"/>
      <c r="J94" s="5"/>
      <c r="K94" s="5"/>
      <c r="L94" s="5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5"/>
      <c r="B95" s="5"/>
      <c r="C95" s="5"/>
      <c r="D95" s="189"/>
      <c r="E95" s="5"/>
      <c r="F95" s="5"/>
      <c r="G95" s="5"/>
      <c r="H95" s="5"/>
      <c r="I95" s="5"/>
      <c r="J95" s="5"/>
      <c r="K95" s="5"/>
      <c r="L95" s="5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5"/>
      <c r="B96" s="5"/>
      <c r="C96" s="5"/>
      <c r="D96" s="189"/>
      <c r="E96" s="5"/>
      <c r="F96" s="5"/>
      <c r="G96" s="5"/>
      <c r="H96" s="5"/>
      <c r="I96" s="5"/>
      <c r="J96" s="5"/>
      <c r="K96" s="5"/>
      <c r="L96" s="5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5"/>
      <c r="B97" s="5"/>
      <c r="C97" s="5"/>
      <c r="D97" s="189"/>
      <c r="E97" s="5"/>
      <c r="F97" s="5"/>
      <c r="G97" s="5"/>
      <c r="H97" s="5"/>
      <c r="I97" s="5"/>
      <c r="J97" s="5"/>
      <c r="K97" s="5"/>
      <c r="L97" s="5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5"/>
      <c r="B98" s="5"/>
      <c r="C98" s="5"/>
      <c r="D98" s="189"/>
      <c r="E98" s="5"/>
      <c r="F98" s="5"/>
      <c r="G98" s="5"/>
      <c r="H98" s="5"/>
      <c r="I98" s="5"/>
      <c r="J98" s="5"/>
      <c r="K98" s="5"/>
      <c r="L98" s="5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5"/>
      <c r="B99" s="5"/>
      <c r="C99" s="5"/>
      <c r="D99" s="189"/>
      <c r="E99" s="5"/>
      <c r="F99" s="5"/>
      <c r="G99" s="5"/>
      <c r="H99" s="5"/>
      <c r="I99" s="5"/>
      <c r="J99" s="5"/>
      <c r="K99" s="5"/>
      <c r="L99" s="5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5"/>
      <c r="B100" s="5"/>
      <c r="C100" s="5"/>
      <c r="D100" s="189"/>
      <c r="E100" s="5"/>
      <c r="F100" s="5"/>
      <c r="G100" s="5"/>
      <c r="H100" s="5"/>
      <c r="I100" s="5"/>
      <c r="J100" s="5"/>
      <c r="K100" s="5"/>
      <c r="L100" s="5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5"/>
      <c r="B101" s="5"/>
      <c r="C101" s="5"/>
      <c r="D101" s="189"/>
      <c r="E101" s="5"/>
      <c r="F101" s="5"/>
      <c r="G101" s="5"/>
      <c r="H101" s="5"/>
      <c r="I101" s="5"/>
      <c r="J101" s="5"/>
      <c r="K101" s="5"/>
      <c r="L101" s="5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5"/>
      <c r="B102" s="5"/>
      <c r="C102" s="5"/>
      <c r="D102" s="189"/>
      <c r="E102" s="5"/>
      <c r="F102" s="5"/>
      <c r="G102" s="5"/>
      <c r="H102" s="5"/>
      <c r="I102" s="5"/>
      <c r="J102" s="5"/>
      <c r="K102" s="5"/>
      <c r="L102" s="5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5"/>
      <c r="B103" s="5"/>
      <c r="C103" s="5"/>
      <c r="D103" s="189"/>
      <c r="E103" s="5"/>
      <c r="F103" s="5"/>
      <c r="G103" s="5"/>
      <c r="H103" s="5"/>
      <c r="I103" s="5"/>
      <c r="J103" s="5"/>
      <c r="K103" s="5"/>
      <c r="L103" s="5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5"/>
      <c r="B104" s="5"/>
      <c r="C104" s="5"/>
      <c r="D104" s="189"/>
      <c r="E104" s="5"/>
      <c r="F104" s="5"/>
      <c r="G104" s="5"/>
      <c r="H104" s="5"/>
      <c r="I104" s="5"/>
      <c r="J104" s="5"/>
      <c r="K104" s="5"/>
      <c r="L104" s="5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5"/>
      <c r="B105" s="5"/>
      <c r="C105" s="5"/>
      <c r="D105" s="189"/>
      <c r="E105" s="5"/>
      <c r="F105" s="5"/>
      <c r="G105" s="5"/>
      <c r="H105" s="5"/>
      <c r="I105" s="5"/>
      <c r="J105" s="5"/>
      <c r="K105" s="5"/>
      <c r="L105" s="5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5"/>
      <c r="B106" s="5"/>
      <c r="C106" s="5"/>
      <c r="D106" s="189"/>
      <c r="E106" s="5"/>
      <c r="F106" s="5"/>
      <c r="G106" s="5"/>
      <c r="H106" s="5"/>
      <c r="I106" s="5"/>
      <c r="J106" s="5"/>
      <c r="K106" s="5"/>
      <c r="L106" s="5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5"/>
      <c r="B107" s="5"/>
      <c r="C107" s="5"/>
      <c r="D107" s="189"/>
      <c r="E107" s="5"/>
      <c r="F107" s="5"/>
      <c r="G107" s="5"/>
      <c r="H107" s="5"/>
      <c r="I107" s="5"/>
      <c r="J107" s="5"/>
      <c r="K107" s="5"/>
      <c r="L107" s="5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5"/>
      <c r="B108" s="5"/>
      <c r="C108" s="5"/>
      <c r="D108" s="189"/>
      <c r="E108" s="5"/>
      <c r="F108" s="5"/>
      <c r="G108" s="5"/>
      <c r="H108" s="5"/>
      <c r="I108" s="5"/>
      <c r="J108" s="5"/>
      <c r="K108" s="5"/>
      <c r="L108" s="5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5"/>
      <c r="B109" s="5"/>
      <c r="C109" s="5"/>
      <c r="D109" s="189"/>
      <c r="E109" s="5"/>
      <c r="F109" s="5"/>
      <c r="G109" s="5"/>
      <c r="H109" s="5"/>
      <c r="I109" s="5"/>
      <c r="J109" s="5"/>
      <c r="K109" s="5"/>
      <c r="L109" s="5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5"/>
      <c r="B110" s="5"/>
      <c r="C110" s="5"/>
      <c r="D110" s="189"/>
      <c r="E110" s="5"/>
      <c r="F110" s="5"/>
      <c r="G110" s="5"/>
      <c r="H110" s="5"/>
      <c r="I110" s="5"/>
      <c r="J110" s="5"/>
      <c r="K110" s="5"/>
      <c r="L110" s="5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5"/>
      <c r="B111" s="5"/>
      <c r="C111" s="5"/>
      <c r="D111" s="189"/>
      <c r="E111" s="5"/>
      <c r="F111" s="5"/>
      <c r="G111" s="5"/>
      <c r="H111" s="5"/>
      <c r="I111" s="5"/>
      <c r="J111" s="5"/>
      <c r="K111" s="5"/>
      <c r="L111" s="5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5"/>
      <c r="B112" s="5"/>
      <c r="C112" s="5"/>
      <c r="D112" s="189"/>
      <c r="E112" s="5"/>
      <c r="F112" s="5"/>
      <c r="G112" s="5"/>
      <c r="H112" s="5"/>
      <c r="I112" s="5"/>
      <c r="J112" s="5"/>
      <c r="K112" s="5"/>
      <c r="L112" s="5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5"/>
      <c r="B113" s="5"/>
      <c r="C113" s="5"/>
      <c r="D113" s="189"/>
      <c r="E113" s="5"/>
      <c r="F113" s="5"/>
      <c r="G113" s="5"/>
      <c r="H113" s="5"/>
      <c r="I113" s="5"/>
      <c r="J113" s="5"/>
      <c r="K113" s="5"/>
      <c r="L113" s="5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5"/>
      <c r="B114" s="5"/>
      <c r="C114" s="5"/>
      <c r="D114" s="189"/>
      <c r="E114" s="5"/>
      <c r="F114" s="5"/>
      <c r="G114" s="5"/>
      <c r="H114" s="5"/>
      <c r="I114" s="5"/>
      <c r="J114" s="5"/>
      <c r="K114" s="5"/>
      <c r="L114" s="5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5"/>
      <c r="B115" s="5"/>
      <c r="C115" s="5"/>
      <c r="D115" s="189"/>
      <c r="E115" s="5"/>
      <c r="F115" s="5"/>
      <c r="G115" s="5"/>
      <c r="H115" s="5"/>
      <c r="I115" s="5"/>
      <c r="J115" s="5"/>
      <c r="K115" s="5"/>
      <c r="L115" s="5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5"/>
      <c r="B116" s="5"/>
      <c r="C116" s="5"/>
      <c r="D116" s="189"/>
      <c r="E116" s="5"/>
      <c r="F116" s="5"/>
      <c r="G116" s="5"/>
      <c r="H116" s="5"/>
      <c r="I116" s="5"/>
      <c r="J116" s="5"/>
      <c r="K116" s="5"/>
      <c r="L116" s="5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5"/>
      <c r="B117" s="5"/>
      <c r="C117" s="5"/>
      <c r="D117" s="189"/>
      <c r="E117" s="5"/>
      <c r="F117" s="5"/>
      <c r="G117" s="5"/>
      <c r="H117" s="5"/>
      <c r="I117" s="5"/>
      <c r="J117" s="5"/>
      <c r="K117" s="5"/>
      <c r="L117" s="5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5"/>
      <c r="B118" s="5"/>
      <c r="C118" s="5"/>
      <c r="D118" s="189"/>
      <c r="E118" s="5"/>
      <c r="F118" s="5"/>
      <c r="G118" s="5"/>
      <c r="H118" s="5"/>
      <c r="I118" s="5"/>
      <c r="J118" s="5"/>
      <c r="K118" s="5"/>
      <c r="L118" s="5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5"/>
      <c r="B119" s="5"/>
      <c r="C119" s="5"/>
      <c r="D119" s="189"/>
      <c r="E119" s="5"/>
      <c r="F119" s="5"/>
      <c r="G119" s="5"/>
      <c r="H119" s="5"/>
      <c r="I119" s="5"/>
      <c r="J119" s="5"/>
      <c r="K119" s="5"/>
      <c r="L119" s="5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5"/>
      <c r="B120" s="5"/>
      <c r="C120" s="5"/>
      <c r="D120" s="189"/>
      <c r="E120" s="5"/>
      <c r="F120" s="5"/>
      <c r="G120" s="5"/>
      <c r="H120" s="5"/>
      <c r="I120" s="5"/>
      <c r="J120" s="5"/>
      <c r="K120" s="5"/>
      <c r="L120" s="5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5"/>
      <c r="B121" s="5"/>
      <c r="C121" s="5"/>
      <c r="D121" s="189"/>
      <c r="E121" s="5"/>
      <c r="F121" s="5"/>
      <c r="G121" s="5"/>
      <c r="H121" s="5"/>
      <c r="I121" s="5"/>
      <c r="J121" s="5"/>
      <c r="K121" s="5"/>
      <c r="L121" s="5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5"/>
      <c r="B122" s="5"/>
      <c r="C122" s="5"/>
      <c r="D122" s="189"/>
      <c r="E122" s="5"/>
      <c r="F122" s="5"/>
      <c r="G122" s="5"/>
      <c r="H122" s="5"/>
      <c r="I122" s="5"/>
      <c r="J122" s="5"/>
      <c r="K122" s="5"/>
      <c r="L122" s="5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5"/>
      <c r="B123" s="5"/>
      <c r="C123" s="5"/>
      <c r="D123" s="189"/>
      <c r="E123" s="5"/>
      <c r="F123" s="5"/>
      <c r="G123" s="5"/>
      <c r="H123" s="5"/>
      <c r="I123" s="5"/>
      <c r="J123" s="5"/>
      <c r="K123" s="5"/>
      <c r="L123" s="5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5"/>
      <c r="B124" s="5"/>
      <c r="C124" s="5"/>
      <c r="D124" s="189"/>
      <c r="E124" s="5"/>
      <c r="F124" s="5"/>
      <c r="G124" s="5"/>
      <c r="H124" s="5"/>
      <c r="I124" s="5"/>
      <c r="J124" s="5"/>
      <c r="K124" s="5"/>
      <c r="L124" s="5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5"/>
      <c r="B125" s="5"/>
      <c r="C125" s="5"/>
      <c r="D125" s="189"/>
      <c r="E125" s="5"/>
      <c r="F125" s="5"/>
      <c r="G125" s="5"/>
      <c r="H125" s="5"/>
      <c r="I125" s="5"/>
      <c r="J125" s="5"/>
      <c r="K125" s="5"/>
      <c r="L125" s="5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5"/>
      <c r="B126" s="5"/>
      <c r="C126" s="5"/>
      <c r="D126" s="189"/>
      <c r="E126" s="5"/>
      <c r="F126" s="5"/>
      <c r="G126" s="5"/>
      <c r="H126" s="5"/>
      <c r="I126" s="5"/>
      <c r="J126" s="5"/>
      <c r="K126" s="5"/>
      <c r="L126" s="5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5"/>
      <c r="B127" s="5"/>
      <c r="C127" s="5"/>
      <c r="D127" s="189"/>
      <c r="E127" s="5"/>
      <c r="F127" s="5"/>
      <c r="G127" s="5"/>
      <c r="H127" s="5"/>
      <c r="I127" s="5"/>
      <c r="J127" s="5"/>
      <c r="K127" s="5"/>
      <c r="L127" s="5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5"/>
      <c r="B128" s="5"/>
      <c r="C128" s="5"/>
      <c r="D128" s="189"/>
      <c r="E128" s="5"/>
      <c r="F128" s="5"/>
      <c r="G128" s="5"/>
      <c r="H128" s="5"/>
      <c r="I128" s="5"/>
      <c r="J128" s="5"/>
      <c r="K128" s="5"/>
      <c r="L128" s="5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5"/>
      <c r="B129" s="5"/>
      <c r="C129" s="5"/>
      <c r="D129" s="189"/>
      <c r="E129" s="5"/>
      <c r="F129" s="5"/>
      <c r="G129" s="5"/>
      <c r="H129" s="5"/>
      <c r="I129" s="5"/>
      <c r="J129" s="5"/>
      <c r="K129" s="5"/>
      <c r="L129" s="5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5"/>
      <c r="B130" s="5"/>
      <c r="C130" s="5"/>
      <c r="D130" s="189"/>
      <c r="E130" s="5"/>
      <c r="F130" s="5"/>
      <c r="G130" s="5"/>
      <c r="H130" s="5"/>
      <c r="I130" s="5"/>
      <c r="J130" s="5"/>
      <c r="K130" s="5"/>
      <c r="L130" s="5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5"/>
      <c r="B131" s="5"/>
      <c r="C131" s="5"/>
      <c r="D131" s="189"/>
      <c r="E131" s="5"/>
      <c r="F131" s="5"/>
      <c r="G131" s="5"/>
      <c r="H131" s="5"/>
      <c r="I131" s="5"/>
      <c r="J131" s="5"/>
      <c r="K131" s="5"/>
      <c r="L131" s="5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5"/>
      <c r="B132" s="5"/>
      <c r="C132" s="5"/>
      <c r="D132" s="189"/>
      <c r="E132" s="5"/>
      <c r="F132" s="5"/>
      <c r="G132" s="5"/>
      <c r="H132" s="5"/>
      <c r="I132" s="5"/>
      <c r="J132" s="5"/>
      <c r="K132" s="5"/>
      <c r="L132" s="5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5"/>
      <c r="B133" s="5"/>
      <c r="C133" s="5"/>
      <c r="D133" s="189"/>
      <c r="E133" s="5"/>
      <c r="F133" s="5"/>
      <c r="G133" s="5"/>
      <c r="H133" s="5"/>
      <c r="I133" s="5"/>
      <c r="J133" s="5"/>
      <c r="K133" s="5"/>
      <c r="L133" s="5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5"/>
      <c r="B134" s="5"/>
      <c r="C134" s="5"/>
      <c r="D134" s="189"/>
      <c r="E134" s="5"/>
      <c r="F134" s="5"/>
      <c r="G134" s="5"/>
      <c r="H134" s="5"/>
      <c r="I134" s="5"/>
      <c r="J134" s="5"/>
      <c r="K134" s="5"/>
      <c r="L134" s="5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5"/>
      <c r="B135" s="5"/>
      <c r="C135" s="5"/>
      <c r="D135" s="189"/>
      <c r="E135" s="5"/>
      <c r="F135" s="5"/>
      <c r="G135" s="5"/>
      <c r="H135" s="5"/>
      <c r="I135" s="5"/>
      <c r="J135" s="5"/>
      <c r="K135" s="5"/>
      <c r="L135" s="5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5"/>
      <c r="B136" s="5"/>
      <c r="C136" s="5"/>
      <c r="D136" s="189"/>
      <c r="E136" s="5"/>
      <c r="F136" s="5"/>
      <c r="G136" s="5"/>
      <c r="H136" s="5"/>
      <c r="I136" s="5"/>
      <c r="J136" s="5"/>
      <c r="K136" s="5"/>
      <c r="L136" s="5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5"/>
      <c r="B137" s="5"/>
      <c r="C137" s="5"/>
      <c r="D137" s="189"/>
      <c r="E137" s="5"/>
      <c r="F137" s="5"/>
      <c r="G137" s="5"/>
      <c r="H137" s="5"/>
      <c r="I137" s="5"/>
      <c r="J137" s="5"/>
      <c r="K137" s="5"/>
      <c r="L137" s="5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5"/>
      <c r="B138" s="5"/>
      <c r="C138" s="5"/>
      <c r="D138" s="189"/>
      <c r="E138" s="5"/>
      <c r="F138" s="5"/>
      <c r="G138" s="5"/>
      <c r="H138" s="5"/>
      <c r="I138" s="5"/>
      <c r="J138" s="5"/>
      <c r="K138" s="5"/>
      <c r="L138" s="5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5"/>
      <c r="B139" s="5"/>
      <c r="C139" s="5"/>
      <c r="D139" s="189"/>
      <c r="E139" s="5"/>
      <c r="F139" s="5"/>
      <c r="G139" s="5"/>
      <c r="H139" s="5"/>
      <c r="I139" s="5"/>
      <c r="J139" s="5"/>
      <c r="K139" s="5"/>
      <c r="L139" s="5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5"/>
      <c r="B140" s="5"/>
      <c r="C140" s="5"/>
      <c r="D140" s="189"/>
      <c r="E140" s="5"/>
      <c r="F140" s="5"/>
      <c r="G140" s="5"/>
      <c r="H140" s="5"/>
      <c r="I140" s="5"/>
      <c r="J140" s="5"/>
      <c r="K140" s="5"/>
      <c r="L140" s="5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5"/>
      <c r="B141" s="5"/>
      <c r="C141" s="5"/>
      <c r="D141" s="189"/>
      <c r="E141" s="5"/>
      <c r="F141" s="5"/>
      <c r="G141" s="5"/>
      <c r="H141" s="5"/>
      <c r="I141" s="5"/>
      <c r="J141" s="5"/>
      <c r="K141" s="5"/>
      <c r="L141" s="5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5"/>
      <c r="B142" s="5"/>
      <c r="C142" s="5"/>
      <c r="D142" s="189"/>
      <c r="E142" s="5"/>
      <c r="F142" s="5"/>
      <c r="G142" s="5"/>
      <c r="H142" s="5"/>
      <c r="I142" s="5"/>
      <c r="J142" s="5"/>
      <c r="K142" s="5"/>
      <c r="L142" s="5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5"/>
      <c r="B143" s="5"/>
      <c r="C143" s="5"/>
      <c r="D143" s="189"/>
      <c r="E143" s="5"/>
      <c r="F143" s="5"/>
      <c r="G143" s="5"/>
      <c r="H143" s="5"/>
      <c r="I143" s="5"/>
      <c r="J143" s="5"/>
      <c r="K143" s="5"/>
      <c r="L143" s="5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5"/>
      <c r="B144" s="5"/>
      <c r="C144" s="5"/>
      <c r="D144" s="189"/>
      <c r="E144" s="5"/>
      <c r="F144" s="5"/>
      <c r="G144" s="5"/>
      <c r="H144" s="5"/>
      <c r="I144" s="5"/>
      <c r="J144" s="5"/>
      <c r="K144" s="5"/>
      <c r="L144" s="5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5"/>
      <c r="B145" s="5"/>
      <c r="C145" s="5"/>
      <c r="D145" s="189"/>
      <c r="E145" s="5"/>
      <c r="F145" s="5"/>
      <c r="G145" s="5"/>
      <c r="H145" s="5"/>
      <c r="I145" s="5"/>
      <c r="J145" s="5"/>
      <c r="K145" s="5"/>
      <c r="L145" s="5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5"/>
      <c r="B146" s="5"/>
      <c r="C146" s="5"/>
      <c r="D146" s="189"/>
      <c r="E146" s="5"/>
      <c r="F146" s="5"/>
      <c r="G146" s="5"/>
      <c r="H146" s="5"/>
      <c r="I146" s="5"/>
      <c r="J146" s="5"/>
      <c r="K146" s="5"/>
      <c r="L146" s="5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5"/>
      <c r="B147" s="5"/>
      <c r="C147" s="5"/>
      <c r="D147" s="189"/>
      <c r="E147" s="5"/>
      <c r="F147" s="5"/>
      <c r="G147" s="5"/>
      <c r="H147" s="5"/>
      <c r="I147" s="5"/>
      <c r="J147" s="5"/>
      <c r="K147" s="5"/>
      <c r="L147" s="5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5"/>
      <c r="B148" s="5"/>
      <c r="C148" s="5"/>
      <c r="D148" s="189"/>
      <c r="E148" s="5"/>
      <c r="F148" s="5"/>
      <c r="G148" s="5"/>
      <c r="H148" s="5"/>
      <c r="I148" s="5"/>
      <c r="J148" s="5"/>
      <c r="K148" s="5"/>
      <c r="L148" s="5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5"/>
      <c r="B149" s="5"/>
      <c r="C149" s="5"/>
      <c r="D149" s="189"/>
      <c r="E149" s="5"/>
      <c r="F149" s="5"/>
      <c r="G149" s="5"/>
      <c r="H149" s="5"/>
      <c r="I149" s="5"/>
      <c r="J149" s="5"/>
      <c r="K149" s="5"/>
      <c r="L149" s="5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5"/>
      <c r="B150" s="5"/>
      <c r="C150" s="5"/>
      <c r="D150" s="189"/>
      <c r="E150" s="5"/>
      <c r="F150" s="5"/>
      <c r="G150" s="5"/>
      <c r="H150" s="5"/>
      <c r="I150" s="5"/>
      <c r="J150" s="5"/>
      <c r="K150" s="5"/>
      <c r="L150" s="5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5"/>
      <c r="B151" s="5"/>
      <c r="C151" s="5"/>
      <c r="D151" s="189"/>
      <c r="E151" s="5"/>
      <c r="F151" s="5"/>
      <c r="G151" s="5"/>
      <c r="H151" s="5"/>
      <c r="I151" s="5"/>
      <c r="J151" s="5"/>
      <c r="K151" s="5"/>
      <c r="L151" s="5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5"/>
      <c r="B152" s="5"/>
      <c r="C152" s="5"/>
      <c r="D152" s="189"/>
      <c r="E152" s="5"/>
      <c r="F152" s="5"/>
      <c r="G152" s="5"/>
      <c r="H152" s="5"/>
      <c r="I152" s="5"/>
      <c r="J152" s="5"/>
      <c r="K152" s="5"/>
      <c r="L152" s="5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5"/>
      <c r="B153" s="5"/>
      <c r="C153" s="5"/>
      <c r="D153" s="189"/>
      <c r="E153" s="5"/>
      <c r="F153" s="5"/>
      <c r="G153" s="5"/>
      <c r="H153" s="5"/>
      <c r="I153" s="5"/>
      <c r="J153" s="5"/>
      <c r="K153" s="5"/>
      <c r="L153" s="5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5"/>
      <c r="B154" s="5"/>
      <c r="C154" s="5"/>
      <c r="D154" s="189"/>
      <c r="E154" s="5"/>
      <c r="F154" s="5"/>
      <c r="G154" s="5"/>
      <c r="H154" s="5"/>
      <c r="I154" s="5"/>
      <c r="J154" s="5"/>
      <c r="K154" s="5"/>
      <c r="L154" s="5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5"/>
      <c r="B155" s="5"/>
      <c r="C155" s="5"/>
      <c r="D155" s="189"/>
      <c r="E155" s="5"/>
      <c r="F155" s="5"/>
      <c r="G155" s="5"/>
      <c r="H155" s="5"/>
      <c r="I155" s="5"/>
      <c r="J155" s="5"/>
      <c r="K155" s="5"/>
      <c r="L155" s="5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5"/>
      <c r="B156" s="5"/>
      <c r="C156" s="5"/>
      <c r="D156" s="189"/>
      <c r="E156" s="5"/>
      <c r="F156" s="5"/>
      <c r="G156" s="5"/>
      <c r="H156" s="5"/>
      <c r="I156" s="5"/>
      <c r="J156" s="5"/>
      <c r="K156" s="5"/>
      <c r="L156" s="5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5"/>
      <c r="B157" s="5"/>
      <c r="C157" s="5"/>
      <c r="D157" s="189"/>
      <c r="E157" s="5"/>
      <c r="F157" s="5"/>
      <c r="G157" s="5"/>
      <c r="H157" s="5"/>
      <c r="I157" s="5"/>
      <c r="J157" s="5"/>
      <c r="K157" s="5"/>
      <c r="L157" s="5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5"/>
      <c r="B158" s="5"/>
      <c r="C158" s="5"/>
      <c r="D158" s="189"/>
      <c r="E158" s="5"/>
      <c r="F158" s="5"/>
      <c r="G158" s="5"/>
      <c r="H158" s="5"/>
      <c r="I158" s="5"/>
      <c r="J158" s="5"/>
      <c r="K158" s="5"/>
      <c r="L158" s="5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5"/>
      <c r="B159" s="5"/>
      <c r="C159" s="5"/>
      <c r="D159" s="189"/>
      <c r="E159" s="5"/>
      <c r="F159" s="5"/>
      <c r="G159" s="5"/>
      <c r="H159" s="5"/>
      <c r="I159" s="5"/>
      <c r="J159" s="5"/>
      <c r="K159" s="5"/>
      <c r="L159" s="5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5"/>
      <c r="B160" s="5"/>
      <c r="C160" s="5"/>
      <c r="D160" s="189"/>
      <c r="E160" s="5"/>
      <c r="F160" s="5"/>
      <c r="G160" s="5"/>
      <c r="H160" s="5"/>
      <c r="I160" s="5"/>
      <c r="J160" s="5"/>
      <c r="K160" s="5"/>
      <c r="L160" s="5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5"/>
      <c r="B161" s="5"/>
      <c r="C161" s="5"/>
      <c r="D161" s="189"/>
      <c r="E161" s="5"/>
      <c r="F161" s="5"/>
      <c r="G161" s="5"/>
      <c r="H161" s="5"/>
      <c r="I161" s="5"/>
      <c r="J161" s="5"/>
      <c r="K161" s="5"/>
      <c r="L161" s="5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5"/>
      <c r="B162" s="5"/>
      <c r="C162" s="5"/>
      <c r="D162" s="189"/>
      <c r="E162" s="5"/>
      <c r="F162" s="5"/>
      <c r="G162" s="5"/>
      <c r="H162" s="5"/>
      <c r="I162" s="5"/>
      <c r="J162" s="5"/>
      <c r="K162" s="5"/>
      <c r="L162" s="5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5"/>
      <c r="B163" s="5"/>
      <c r="C163" s="5"/>
      <c r="D163" s="189"/>
      <c r="E163" s="5"/>
      <c r="F163" s="5"/>
      <c r="G163" s="5"/>
      <c r="H163" s="5"/>
      <c r="I163" s="5"/>
      <c r="J163" s="5"/>
      <c r="K163" s="5"/>
      <c r="L163" s="5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5"/>
      <c r="B164" s="5"/>
      <c r="C164" s="5"/>
      <c r="D164" s="189"/>
      <c r="E164" s="5"/>
      <c r="F164" s="5"/>
      <c r="G164" s="5"/>
      <c r="H164" s="5"/>
      <c r="I164" s="5"/>
      <c r="J164" s="5"/>
      <c r="K164" s="5"/>
      <c r="L164" s="5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5"/>
      <c r="B165" s="5"/>
      <c r="C165" s="5"/>
      <c r="D165" s="189"/>
      <c r="E165" s="5"/>
      <c r="F165" s="5"/>
      <c r="G165" s="5"/>
      <c r="H165" s="5"/>
      <c r="I165" s="5"/>
      <c r="J165" s="5"/>
      <c r="K165" s="5"/>
      <c r="L165" s="5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5"/>
      <c r="B166" s="5"/>
      <c r="C166" s="5"/>
      <c r="D166" s="189"/>
      <c r="E166" s="5"/>
      <c r="F166" s="5"/>
      <c r="G166" s="5"/>
      <c r="H166" s="5"/>
      <c r="I166" s="5"/>
      <c r="J166" s="5"/>
      <c r="K166" s="5"/>
      <c r="L166" s="5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5"/>
      <c r="B167" s="5"/>
      <c r="C167" s="5"/>
      <c r="D167" s="189"/>
      <c r="E167" s="5"/>
      <c r="F167" s="5"/>
      <c r="G167" s="5"/>
      <c r="H167" s="5"/>
      <c r="I167" s="5"/>
      <c r="J167" s="5"/>
      <c r="K167" s="5"/>
      <c r="L167" s="5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5"/>
      <c r="B168" s="5"/>
      <c r="C168" s="5"/>
      <c r="D168" s="189"/>
      <c r="E168" s="5"/>
      <c r="F168" s="5"/>
      <c r="G168" s="5"/>
      <c r="H168" s="5"/>
      <c r="I168" s="5"/>
      <c r="J168" s="5"/>
      <c r="K168" s="5"/>
      <c r="L168" s="5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5"/>
      <c r="B169" s="5"/>
      <c r="C169" s="5"/>
      <c r="D169" s="189"/>
      <c r="E169" s="5"/>
      <c r="F169" s="5"/>
      <c r="G169" s="5"/>
      <c r="H169" s="5"/>
      <c r="I169" s="5"/>
      <c r="J169" s="5"/>
      <c r="K169" s="5"/>
      <c r="L169" s="5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5"/>
      <c r="B170" s="5"/>
      <c r="C170" s="5"/>
      <c r="D170" s="189"/>
      <c r="E170" s="5"/>
      <c r="F170" s="5"/>
      <c r="G170" s="5"/>
      <c r="H170" s="5"/>
      <c r="I170" s="5"/>
      <c r="J170" s="5"/>
      <c r="K170" s="5"/>
      <c r="L170" s="5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5"/>
      <c r="B171" s="5"/>
      <c r="C171" s="5"/>
      <c r="D171" s="189"/>
      <c r="E171" s="5"/>
      <c r="F171" s="5"/>
      <c r="G171" s="5"/>
      <c r="H171" s="5"/>
      <c r="I171" s="5"/>
      <c r="J171" s="5"/>
      <c r="K171" s="5"/>
      <c r="L171" s="5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5"/>
      <c r="B172" s="5"/>
      <c r="C172" s="5"/>
      <c r="D172" s="189"/>
      <c r="E172" s="5"/>
      <c r="F172" s="5"/>
      <c r="G172" s="5"/>
      <c r="H172" s="5"/>
      <c r="I172" s="5"/>
      <c r="J172" s="5"/>
      <c r="K172" s="5"/>
      <c r="L172" s="5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5"/>
      <c r="B173" s="5"/>
      <c r="C173" s="5"/>
      <c r="D173" s="189"/>
      <c r="E173" s="5"/>
      <c r="F173" s="5"/>
      <c r="G173" s="5"/>
      <c r="H173" s="5"/>
      <c r="I173" s="5"/>
      <c r="J173" s="5"/>
      <c r="K173" s="5"/>
      <c r="L173" s="5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5"/>
      <c r="B174" s="5"/>
      <c r="C174" s="5"/>
      <c r="D174" s="189"/>
      <c r="E174" s="5"/>
      <c r="F174" s="5"/>
      <c r="G174" s="5"/>
      <c r="H174" s="5"/>
      <c r="I174" s="5"/>
      <c r="J174" s="5"/>
      <c r="K174" s="5"/>
      <c r="L174" s="5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5"/>
      <c r="B175" s="5"/>
      <c r="C175" s="5"/>
      <c r="D175" s="189"/>
      <c r="E175" s="5"/>
      <c r="F175" s="5"/>
      <c r="G175" s="5"/>
      <c r="H175" s="5"/>
      <c r="I175" s="5"/>
      <c r="J175" s="5"/>
      <c r="K175" s="5"/>
      <c r="L175" s="5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5"/>
      <c r="B176" s="5"/>
      <c r="C176" s="5"/>
      <c r="D176" s="189"/>
      <c r="E176" s="5"/>
      <c r="F176" s="5"/>
      <c r="G176" s="5"/>
      <c r="H176" s="5"/>
      <c r="I176" s="5"/>
      <c r="J176" s="5"/>
      <c r="K176" s="5"/>
      <c r="L176" s="5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5"/>
      <c r="B177" s="5"/>
      <c r="C177" s="5"/>
      <c r="D177" s="189"/>
      <c r="E177" s="5"/>
      <c r="F177" s="5"/>
      <c r="G177" s="5"/>
      <c r="H177" s="5"/>
      <c r="I177" s="5"/>
      <c r="J177" s="5"/>
      <c r="K177" s="5"/>
      <c r="L177" s="5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5"/>
      <c r="B178" s="5"/>
      <c r="C178" s="5"/>
      <c r="D178" s="189"/>
      <c r="E178" s="5"/>
      <c r="F178" s="5"/>
      <c r="G178" s="5"/>
      <c r="H178" s="5"/>
      <c r="I178" s="5"/>
      <c r="J178" s="5"/>
      <c r="K178" s="5"/>
      <c r="L178" s="5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5"/>
      <c r="B179" s="5"/>
      <c r="C179" s="5"/>
      <c r="D179" s="189"/>
      <c r="E179" s="5"/>
      <c r="F179" s="5"/>
      <c r="G179" s="5"/>
      <c r="H179" s="5"/>
      <c r="I179" s="5"/>
      <c r="J179" s="5"/>
      <c r="K179" s="5"/>
      <c r="L179" s="5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5"/>
      <c r="B180" s="5"/>
      <c r="C180" s="5"/>
      <c r="D180" s="189"/>
      <c r="E180" s="5"/>
      <c r="F180" s="5"/>
      <c r="G180" s="5"/>
      <c r="H180" s="5"/>
      <c r="I180" s="5"/>
      <c r="J180" s="5"/>
      <c r="K180" s="5"/>
      <c r="L180" s="5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5"/>
      <c r="B181" s="5"/>
      <c r="C181" s="5"/>
      <c r="D181" s="189"/>
      <c r="E181" s="5"/>
      <c r="F181" s="5"/>
      <c r="G181" s="5"/>
      <c r="H181" s="5"/>
      <c r="I181" s="5"/>
      <c r="J181" s="5"/>
      <c r="K181" s="5"/>
      <c r="L181" s="5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5"/>
      <c r="B182" s="5"/>
      <c r="C182" s="5"/>
      <c r="D182" s="189"/>
      <c r="E182" s="5"/>
      <c r="F182" s="5"/>
      <c r="G182" s="5"/>
      <c r="H182" s="5"/>
      <c r="I182" s="5"/>
      <c r="J182" s="5"/>
      <c r="K182" s="5"/>
      <c r="L182" s="5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5"/>
      <c r="B183" s="5"/>
      <c r="C183" s="5"/>
      <c r="D183" s="189"/>
      <c r="E183" s="5"/>
      <c r="F183" s="5"/>
      <c r="G183" s="5"/>
      <c r="H183" s="5"/>
      <c r="I183" s="5"/>
      <c r="J183" s="5"/>
      <c r="K183" s="5"/>
      <c r="L183" s="5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5"/>
      <c r="B184" s="5"/>
      <c r="C184" s="5"/>
      <c r="D184" s="189"/>
      <c r="E184" s="5"/>
      <c r="F184" s="5"/>
      <c r="G184" s="5"/>
      <c r="H184" s="5"/>
      <c r="I184" s="5"/>
      <c r="J184" s="5"/>
      <c r="K184" s="5"/>
      <c r="L184" s="5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5"/>
      <c r="B185" s="5"/>
      <c r="C185" s="5"/>
      <c r="D185" s="189"/>
      <c r="E185" s="5"/>
      <c r="F185" s="5"/>
      <c r="G185" s="5"/>
      <c r="H185" s="5"/>
      <c r="I185" s="5"/>
      <c r="J185" s="5"/>
      <c r="K185" s="5"/>
      <c r="L185" s="5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5"/>
      <c r="B186" s="5"/>
      <c r="C186" s="5"/>
      <c r="D186" s="189"/>
      <c r="E186" s="5"/>
      <c r="F186" s="5"/>
      <c r="G186" s="5"/>
      <c r="H186" s="5"/>
      <c r="I186" s="5"/>
      <c r="J186" s="5"/>
      <c r="K186" s="5"/>
      <c r="L186" s="5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5"/>
      <c r="B187" s="5"/>
      <c r="C187" s="5"/>
      <c r="D187" s="189"/>
      <c r="E187" s="5"/>
      <c r="F187" s="5"/>
      <c r="G187" s="5"/>
      <c r="H187" s="5"/>
      <c r="I187" s="5"/>
      <c r="J187" s="5"/>
      <c r="K187" s="5"/>
      <c r="L187" s="5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5"/>
      <c r="B188" s="5"/>
      <c r="C188" s="5"/>
      <c r="D188" s="189"/>
      <c r="E188" s="5"/>
      <c r="F188" s="5"/>
      <c r="G188" s="5"/>
      <c r="H188" s="5"/>
      <c r="I188" s="5"/>
      <c r="J188" s="5"/>
      <c r="K188" s="5"/>
      <c r="L188" s="5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5"/>
      <c r="B189" s="5"/>
      <c r="C189" s="5"/>
      <c r="D189" s="189"/>
      <c r="E189" s="5"/>
      <c r="F189" s="5"/>
      <c r="G189" s="5"/>
      <c r="H189" s="5"/>
      <c r="I189" s="5"/>
      <c r="J189" s="5"/>
      <c r="K189" s="5"/>
      <c r="L189" s="5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5"/>
      <c r="B190" s="5"/>
      <c r="C190" s="5"/>
      <c r="D190" s="189"/>
      <c r="E190" s="5"/>
      <c r="F190" s="5"/>
      <c r="G190" s="5"/>
      <c r="H190" s="5"/>
      <c r="I190" s="5"/>
      <c r="J190" s="5"/>
      <c r="K190" s="5"/>
      <c r="L190" s="5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5"/>
      <c r="B191" s="5"/>
      <c r="C191" s="5"/>
      <c r="D191" s="189"/>
      <c r="E191" s="5"/>
      <c r="F191" s="5"/>
      <c r="G191" s="5"/>
      <c r="H191" s="5"/>
      <c r="I191" s="5"/>
      <c r="J191" s="5"/>
      <c r="K191" s="5"/>
      <c r="L191" s="5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5"/>
      <c r="B192" s="5"/>
      <c r="C192" s="5"/>
      <c r="D192" s="189"/>
      <c r="E192" s="5"/>
      <c r="F192" s="5"/>
      <c r="G192" s="5"/>
      <c r="H192" s="5"/>
      <c r="I192" s="5"/>
      <c r="J192" s="5"/>
      <c r="K192" s="5"/>
      <c r="L192" s="5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5"/>
      <c r="B193" s="5"/>
      <c r="C193" s="5"/>
      <c r="D193" s="189"/>
      <c r="E193" s="5"/>
      <c r="F193" s="5"/>
      <c r="G193" s="5"/>
      <c r="H193" s="5"/>
      <c r="I193" s="5"/>
      <c r="J193" s="5"/>
      <c r="K193" s="5"/>
      <c r="L193" s="5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5"/>
      <c r="B194" s="5"/>
      <c r="C194" s="5"/>
      <c r="D194" s="189"/>
      <c r="E194" s="5"/>
      <c r="F194" s="5"/>
      <c r="G194" s="5"/>
      <c r="H194" s="5"/>
      <c r="I194" s="5"/>
      <c r="J194" s="5"/>
      <c r="K194" s="5"/>
      <c r="L194" s="5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5"/>
      <c r="B195" s="5"/>
      <c r="C195" s="5"/>
      <c r="D195" s="189"/>
      <c r="E195" s="5"/>
      <c r="F195" s="5"/>
      <c r="G195" s="5"/>
      <c r="H195" s="5"/>
      <c r="I195" s="5"/>
      <c r="J195" s="5"/>
      <c r="K195" s="5"/>
      <c r="L195" s="5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5"/>
      <c r="B196" s="5"/>
      <c r="C196" s="5"/>
      <c r="D196" s="189"/>
      <c r="E196" s="5"/>
      <c r="F196" s="5"/>
      <c r="G196" s="5"/>
      <c r="H196" s="5"/>
      <c r="I196" s="5"/>
      <c r="J196" s="5"/>
      <c r="K196" s="5"/>
      <c r="L196" s="5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5"/>
      <c r="B197" s="5"/>
      <c r="C197" s="5"/>
      <c r="D197" s="189"/>
      <c r="E197" s="5"/>
      <c r="F197" s="5"/>
      <c r="G197" s="5"/>
      <c r="H197" s="5"/>
      <c r="I197" s="5"/>
      <c r="J197" s="5"/>
      <c r="K197" s="5"/>
      <c r="L197" s="5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5"/>
      <c r="B198" s="5"/>
      <c r="C198" s="5"/>
      <c r="D198" s="189"/>
      <c r="E198" s="5"/>
      <c r="F198" s="5"/>
      <c r="G198" s="5"/>
      <c r="H198" s="5"/>
      <c r="I198" s="5"/>
      <c r="J198" s="5"/>
      <c r="K198" s="5"/>
      <c r="L198" s="5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5"/>
      <c r="B199" s="5"/>
      <c r="C199" s="5"/>
      <c r="D199" s="189"/>
      <c r="E199" s="5"/>
      <c r="F199" s="5"/>
      <c r="G199" s="5"/>
      <c r="H199" s="5"/>
      <c r="I199" s="5"/>
      <c r="J199" s="5"/>
      <c r="K199" s="5"/>
      <c r="L199" s="5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5"/>
      <c r="B200" s="5"/>
      <c r="C200" s="5"/>
      <c r="D200" s="189"/>
      <c r="E200" s="5"/>
      <c r="F200" s="5"/>
      <c r="G200" s="5"/>
      <c r="H200" s="5"/>
      <c r="I200" s="5"/>
      <c r="J200" s="5"/>
      <c r="K200" s="5"/>
      <c r="L200" s="5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5"/>
      <c r="B201" s="5"/>
      <c r="C201" s="5"/>
      <c r="D201" s="189"/>
      <c r="E201" s="5"/>
      <c r="F201" s="5"/>
      <c r="G201" s="5"/>
      <c r="H201" s="5"/>
      <c r="I201" s="5"/>
      <c r="J201" s="5"/>
      <c r="K201" s="5"/>
      <c r="L201" s="5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5"/>
      <c r="B202" s="5"/>
      <c r="C202" s="5"/>
      <c r="D202" s="189"/>
      <c r="E202" s="5"/>
      <c r="F202" s="5"/>
      <c r="G202" s="5"/>
      <c r="H202" s="5"/>
      <c r="I202" s="5"/>
      <c r="J202" s="5"/>
      <c r="K202" s="5"/>
      <c r="L202" s="5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5"/>
      <c r="B203" s="5"/>
      <c r="C203" s="5"/>
      <c r="D203" s="189"/>
      <c r="E203" s="5"/>
      <c r="F203" s="5"/>
      <c r="G203" s="5"/>
      <c r="H203" s="5"/>
      <c r="I203" s="5"/>
      <c r="J203" s="5"/>
      <c r="K203" s="5"/>
      <c r="L203" s="5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5"/>
      <c r="B204" s="5"/>
      <c r="C204" s="5"/>
      <c r="D204" s="189"/>
      <c r="E204" s="5"/>
      <c r="F204" s="5"/>
      <c r="G204" s="5"/>
      <c r="H204" s="5"/>
      <c r="I204" s="5"/>
      <c r="J204" s="5"/>
      <c r="K204" s="5"/>
      <c r="L204" s="5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5"/>
      <c r="B205" s="5"/>
      <c r="C205" s="5"/>
      <c r="D205" s="189"/>
      <c r="E205" s="5"/>
      <c r="F205" s="5"/>
      <c r="G205" s="5"/>
      <c r="H205" s="5"/>
      <c r="I205" s="5"/>
      <c r="J205" s="5"/>
      <c r="K205" s="5"/>
      <c r="L205" s="5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5"/>
      <c r="B206" s="5"/>
      <c r="C206" s="5"/>
      <c r="D206" s="189"/>
      <c r="E206" s="5"/>
      <c r="F206" s="5"/>
      <c r="G206" s="5"/>
      <c r="H206" s="5"/>
      <c r="I206" s="5"/>
      <c r="J206" s="5"/>
      <c r="K206" s="5"/>
      <c r="L206" s="5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5"/>
      <c r="B207" s="5"/>
      <c r="C207" s="5"/>
      <c r="D207" s="189"/>
      <c r="E207" s="5"/>
      <c r="F207" s="5"/>
      <c r="G207" s="5"/>
      <c r="H207" s="5"/>
      <c r="I207" s="5"/>
      <c r="J207" s="5"/>
      <c r="K207" s="5"/>
      <c r="L207" s="5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5"/>
      <c r="B208" s="5"/>
      <c r="C208" s="5"/>
      <c r="D208" s="189"/>
      <c r="E208" s="5"/>
      <c r="F208" s="5"/>
      <c r="G208" s="5"/>
      <c r="H208" s="5"/>
      <c r="I208" s="5"/>
      <c r="J208" s="5"/>
      <c r="K208" s="5"/>
      <c r="L208" s="5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5"/>
      <c r="B209" s="5"/>
      <c r="C209" s="5"/>
      <c r="D209" s="189"/>
      <c r="E209" s="5"/>
      <c r="F209" s="5"/>
      <c r="G209" s="5"/>
      <c r="H209" s="5"/>
      <c r="I209" s="5"/>
      <c r="J209" s="5"/>
      <c r="K209" s="5"/>
      <c r="L209" s="5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5"/>
      <c r="B210" s="5"/>
      <c r="C210" s="5"/>
      <c r="D210" s="189"/>
      <c r="E210" s="5"/>
      <c r="F210" s="5"/>
      <c r="G210" s="5"/>
      <c r="H210" s="5"/>
      <c r="I210" s="5"/>
      <c r="J210" s="5"/>
      <c r="K210" s="5"/>
      <c r="L210" s="5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5"/>
      <c r="B211" s="5"/>
      <c r="C211" s="5"/>
      <c r="D211" s="189"/>
      <c r="E211" s="5"/>
      <c r="F211" s="5"/>
      <c r="G211" s="5"/>
      <c r="H211" s="5"/>
      <c r="I211" s="5"/>
      <c r="J211" s="5"/>
      <c r="K211" s="5"/>
      <c r="L211" s="5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5"/>
      <c r="B212" s="5"/>
      <c r="C212" s="5"/>
      <c r="D212" s="189"/>
      <c r="E212" s="5"/>
      <c r="F212" s="5"/>
      <c r="G212" s="5"/>
      <c r="H212" s="5"/>
      <c r="I212" s="5"/>
      <c r="J212" s="5"/>
      <c r="K212" s="5"/>
      <c r="L212" s="5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5"/>
      <c r="B213" s="5"/>
      <c r="C213" s="5"/>
      <c r="D213" s="189"/>
      <c r="E213" s="5"/>
      <c r="F213" s="5"/>
      <c r="G213" s="5"/>
      <c r="H213" s="5"/>
      <c r="I213" s="5"/>
      <c r="J213" s="5"/>
      <c r="K213" s="5"/>
      <c r="L213" s="5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5"/>
      <c r="B214" s="5"/>
      <c r="C214" s="5"/>
      <c r="D214" s="189"/>
      <c r="E214" s="5"/>
      <c r="F214" s="5"/>
      <c r="G214" s="5"/>
      <c r="H214" s="5"/>
      <c r="I214" s="5"/>
      <c r="J214" s="5"/>
      <c r="K214" s="5"/>
      <c r="L214" s="5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5"/>
      <c r="B215" s="5"/>
      <c r="C215" s="5"/>
      <c r="D215" s="189"/>
      <c r="E215" s="5"/>
      <c r="F215" s="5"/>
      <c r="G215" s="5"/>
      <c r="H215" s="5"/>
      <c r="I215" s="5"/>
      <c r="J215" s="5"/>
      <c r="K215" s="5"/>
      <c r="L215" s="5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5"/>
      <c r="B216" s="5"/>
      <c r="C216" s="5"/>
      <c r="D216" s="189"/>
      <c r="E216" s="5"/>
      <c r="F216" s="5"/>
      <c r="G216" s="5"/>
      <c r="H216" s="5"/>
      <c r="I216" s="5"/>
      <c r="J216" s="5"/>
      <c r="K216" s="5"/>
      <c r="L216" s="5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5"/>
      <c r="B217" s="5"/>
      <c r="C217" s="5"/>
      <c r="D217" s="189"/>
      <c r="E217" s="5"/>
      <c r="F217" s="5"/>
      <c r="G217" s="5"/>
      <c r="H217" s="5"/>
      <c r="I217" s="5"/>
      <c r="J217" s="5"/>
      <c r="K217" s="5"/>
      <c r="L217" s="5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5"/>
      <c r="B218" s="5"/>
      <c r="C218" s="5"/>
      <c r="D218" s="189"/>
      <c r="E218" s="5"/>
      <c r="F218" s="5"/>
      <c r="G218" s="5"/>
      <c r="H218" s="5"/>
      <c r="I218" s="5"/>
      <c r="J218" s="5"/>
      <c r="K218" s="5"/>
      <c r="L218" s="5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5"/>
      <c r="B219" s="5"/>
      <c r="C219" s="5"/>
      <c r="D219" s="189"/>
      <c r="E219" s="5"/>
      <c r="F219" s="5"/>
      <c r="G219" s="5"/>
      <c r="H219" s="5"/>
      <c r="I219" s="5"/>
      <c r="J219" s="5"/>
      <c r="K219" s="5"/>
      <c r="L219" s="5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5"/>
      <c r="B220" s="5"/>
      <c r="C220" s="5"/>
      <c r="D220" s="189"/>
      <c r="E220" s="5"/>
      <c r="F220" s="5"/>
      <c r="G220" s="5"/>
      <c r="H220" s="5"/>
      <c r="I220" s="5"/>
      <c r="J220" s="5"/>
      <c r="K220" s="5"/>
      <c r="L220" s="5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4">
    <mergeCell ref="A1:L1"/>
    <mergeCell ref="A2:L2"/>
    <mergeCell ref="A3:L3"/>
    <mergeCell ref="A4:L4"/>
  </mergeCells>
  <dataValidations>
    <dataValidation type="list" allowBlank="1" sqref="K6:K100">
      <formula1>"Passed,Tabled,Denied"</formula1>
    </dataValidation>
    <dataValidation type="list" allowBlank="1" sqref="B6:B100">
      <formula1>"Tentative,Final"</formula1>
    </dataValidation>
  </dataValidations>
  <drawing r:id="rId1"/>
</worksheet>
</file>